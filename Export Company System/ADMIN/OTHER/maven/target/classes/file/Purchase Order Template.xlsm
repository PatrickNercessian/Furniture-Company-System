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tricknercessian/Desktop/Export Home Furnishings Project/maven/src/main/resources/file/"/>
    </mc:Choice>
  </mc:AlternateContent>
  <xr:revisionPtr revIDLastSave="0" documentId="13_ncr:1_{B8A38971-1218-C047-B709-BC446591F5E1}" xr6:coauthVersionLast="33" xr6:coauthVersionMax="33" xr10:uidLastSave="{00000000-0000-0000-0000-000000000000}"/>
  <bookViews>
    <workbookView xWindow="0" yWindow="460" windowWidth="25480" windowHeight="15640" xr2:uid="{00000000-000D-0000-FFFF-FFFF00000000}"/>
  </bookViews>
  <sheets>
    <sheet name="PI" sheetId="1" r:id="rId1"/>
    <sheet name="PO" sheetId="2" r:id="rId2"/>
    <sheet name="CI-PL" sheetId="4" r:id="rId3"/>
    <sheet name="EMAIL TEMPLATE" sheetId="5" state="veryHidden" r:id="rId4"/>
  </sheets>
  <functionGroups builtInGroupCount="19"/>
  <definedNames>
    <definedName name="cAfterTotal">PO!$I$52</definedName>
    <definedName name="_xlnm.Print_Area" localSheetId="0">PI!$A$1:$J$67</definedName>
    <definedName name="_xlnm.Print_Area" localSheetId="1">PO!$A$1:$I$83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8" i="2" l="1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I11" i="2"/>
  <c r="I48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A54" i="2" l="1"/>
  <c r="F5" i="4" l="1"/>
  <c r="I49" i="2" l="1"/>
  <c r="I50" i="2" s="1"/>
  <c r="I51" i="2" s="1"/>
  <c r="K51" i="2"/>
</calcChain>
</file>

<file path=xl/sharedStrings.xml><?xml version="1.0" encoding="utf-8"?>
<sst xmlns="http://schemas.openxmlformats.org/spreadsheetml/2006/main" count="71" uniqueCount="64">
  <si>
    <t>SALES CONTRACT</t>
  </si>
  <si>
    <t>CONSIGNEE:</t>
  </si>
  <si>
    <t>NOTIFY:</t>
  </si>
  <si>
    <t>DATE:</t>
  </si>
  <si>
    <t>SALES CONTRACT:</t>
  </si>
  <si>
    <t>TAG OR PO#:</t>
  </si>
  <si>
    <t>FACTORY:</t>
  </si>
  <si>
    <t>DELIVERY TERMS:</t>
  </si>
  <si>
    <t>PAYMENT TERMS:</t>
  </si>
  <si>
    <t>CONTAINER:</t>
  </si>
  <si>
    <t>READY DATE:</t>
  </si>
  <si>
    <t>NOTES:</t>
  </si>
  <si>
    <t>MODEL</t>
  </si>
  <si>
    <t>DESCRIPTION</t>
  </si>
  <si>
    <t>FABRIC/COLOR</t>
  </si>
  <si>
    <t>QTY</t>
  </si>
  <si>
    <t>PRICE</t>
  </si>
  <si>
    <t>AMOUNT</t>
  </si>
  <si>
    <t>TOTAL:</t>
  </si>
  <si>
    <t>VENDOR:</t>
  </si>
  <si>
    <t>PO#:</t>
  </si>
  <si>
    <t>DELIVERY:</t>
  </si>
  <si>
    <t>PLEASE REVIEW PAGE 2/2 FOR IMPORTANT INFORMATION REGARDING THIS PURCHASE ORDER.</t>
  </si>
  <si>
    <t xml:space="preserve">PRICE  </t>
  </si>
  <si>
    <t xml:space="preserve">TOTAL </t>
  </si>
  <si>
    <t>UNITS</t>
  </si>
  <si>
    <t>TOTAL</t>
  </si>
  <si>
    <t>SUBTOTAL:</t>
  </si>
  <si>
    <t>DISCOUNT:</t>
  </si>
  <si>
    <t>IF YOU CAN'T COMPLY WITH ANY OF THE BELOW PLEASE LET US KNOW IMMEDIATELY</t>
  </si>
  <si>
    <t>1- This purchase order is valid for 90 days after being issued.</t>
  </si>
  <si>
    <t>2- Load in complete sets only (as mentioned above) and do not change quantities without approval.</t>
  </si>
  <si>
    <t>3- No changes to be made in quantities, models, description or pricing without our written approval.</t>
  </si>
  <si>
    <t>5- All packages should have the country of origin and EHF PO# clearly labeled.</t>
  </si>
  <si>
    <t>6) Packaging: Strong sea worthy packing suitable for shipment by Sea</t>
  </si>
  <si>
    <t>4- One week before goods are ready please email - or fax - the booking request with load date/time and load #,</t>
  </si>
  <si>
    <t>pick-up location, working hours, contact person, telephone, fax, email.</t>
  </si>
  <si>
    <t>pick-up.</t>
  </si>
  <si>
    <t>6- If trucker does not show up on load date, please contact Audrey Lasrado immediately to advise us of the no show.</t>
  </si>
  <si>
    <t>10- Truckers will only allow only 2 hrs free time for loading - detention will incur after that.</t>
  </si>
  <si>
    <t>11- Upon loading, please send us a copy of the packing list, invoice, container number, seal number,</t>
  </si>
  <si>
    <t>total piece count, total gross weight and include the booking number on all documents.</t>
  </si>
  <si>
    <t>6) Loading Information: Upon loading please fax us a copy of Packing List, Invoice,</t>
  </si>
  <si>
    <t xml:space="preserve">Container # and Seal #,  Total Pieces, Total Weight, and include Booking # on all </t>
  </si>
  <si>
    <t>TO:</t>
  </si>
  <si>
    <t>CC:</t>
  </si>
  <si>
    <t>BCC:</t>
  </si>
  <si>
    <t>LINE 1</t>
  </si>
  <si>
    <t>LINE 2</t>
  </si>
  <si>
    <t>LINE 3</t>
  </si>
  <si>
    <t>LINE 4</t>
  </si>
  <si>
    <t>LINE 5</t>
  </si>
  <si>
    <t>LINE 6</t>
  </si>
  <si>
    <t>LINE 7</t>
  </si>
  <si>
    <t>Subject:</t>
  </si>
  <si>
    <t>Dear ______,</t>
  </si>
  <si>
    <t>Could you please review and send us an order acknowledgement with ready date at your earliest convenience.</t>
  </si>
  <si>
    <t>Much appreciated,</t>
  </si>
  <si>
    <t>LINE 8</t>
  </si>
  <si>
    <t>Please find attached our purchase order and proceed accordingly.</t>
  </si>
  <si>
    <t>PURCHASE ORDER</t>
  </si>
  <si>
    <r>
      <t xml:space="preserve">5- Once booking is sent - </t>
    </r>
    <r>
      <rPr>
        <b/>
        <u/>
        <sz val="12"/>
        <rFont val="Calibri"/>
        <family val="2"/>
        <scheme val="minor"/>
      </rPr>
      <t>no changes are to be made directly with the truck driver or ss line</t>
    </r>
    <r>
      <rPr>
        <sz val="12"/>
        <rFont val="Calibri"/>
        <family val="2"/>
        <scheme val="minor"/>
      </rPr>
      <t xml:space="preserve"> without our</t>
    </r>
  </si>
  <si>
    <r>
      <t>approval.</t>
    </r>
    <r>
      <rPr>
        <sz val="12"/>
        <rFont val="Calibri"/>
        <family val="2"/>
        <scheme val="minor"/>
      </rPr>
      <t xml:space="preserve"> Please email us within 24-hours before load date to confirm that trucker called or not to schedule the</t>
    </r>
  </si>
  <si>
    <r>
      <t xml:space="preserve">Documents -  </t>
    </r>
    <r>
      <rPr>
        <b/>
        <u/>
        <sz val="12"/>
        <rFont val="Calibri"/>
        <family val="2"/>
        <scheme val="minor"/>
      </rPr>
      <t>ORIGIN OF GOODS OF EACH ITEM MUST BE LISTED</t>
    </r>
    <r>
      <rPr>
        <sz val="12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</si>
</sst>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\-mmm\-yy;@"/>
    <numFmt numFmtId="165" formatCode="&quot;$&quot;#,##0.00"/>
    <numFmt numFmtId="166" formatCode="_(* &quot;$&quot;#,##0.00_);_(* \(&quot;$&quot;#,##0.00_);;_(@\)"/>
    <numFmt numFmtId="167" formatCode="_(* #,##0.00_);_(* \(#,##0.00_);;_(@\)"/>
    <numFmt numFmtId="168" formatCode="0.0%"/>
    <numFmt numFmtId="169" formatCode="&quot;$&quot;#,##0.00\ "/>
  </numFmts>
  <fonts count="13" x14ac:knownFonts="1"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83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vertical="center"/>
    </xf>
    <xf numFmtId="164" fontId="6" fillId="0" borderId="0" xfId="1" applyNumberFormat="1" applyFont="1" applyFill="1" applyBorder="1" applyAlignment="1" applyProtection="1">
      <alignment horizontal="left" vertical="center"/>
    </xf>
    <xf numFmtId="0" fontId="6" fillId="0" borderId="0" xfId="1" applyFont="1" applyFill="1" applyAlignment="1" applyProtection="1">
      <alignment horizontal="left" vertical="center"/>
    </xf>
    <xf numFmtId="0" fontId="6" fillId="0" borderId="0" xfId="1" applyFont="1" applyFill="1" applyBorder="1" applyAlignment="1" applyProtection="1">
      <alignment horizontal="left" vertical="center"/>
    </xf>
    <xf numFmtId="0" fontId="6" fillId="2" borderId="1" xfId="1" applyFont="1" applyFill="1" applyBorder="1" applyAlignment="1" applyProtection="1">
      <alignment horizontal="left" vertical="center"/>
    </xf>
    <xf numFmtId="0" fontId="7" fillId="2" borderId="1" xfId="1" applyFont="1" applyFill="1" applyBorder="1" applyAlignment="1" applyProtection="1">
      <alignment horizontal="left" vertical="center"/>
    </xf>
    <xf numFmtId="0" fontId="6" fillId="2" borderId="1" xfId="1" applyFont="1" applyFill="1" applyBorder="1" applyAlignment="1" applyProtection="1">
      <alignment horizontal="right" vertical="center"/>
    </xf>
    <xf numFmtId="0" fontId="7" fillId="2" borderId="1" xfId="1" applyFont="1" applyFill="1" applyBorder="1" applyAlignment="1" applyProtection="1">
      <alignment horizontal="center" vertical="center"/>
    </xf>
    <xf numFmtId="0" fontId="6" fillId="2" borderId="1" xfId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4" fontId="6" fillId="2" borderId="1" xfId="1" applyNumberFormat="1" applyFont="1" applyFill="1" applyBorder="1" applyAlignment="1" applyProtection="1">
      <alignment vertical="center" wrapText="1"/>
    </xf>
    <xf numFmtId="4" fontId="6" fillId="2" borderId="1" xfId="1" applyNumberFormat="1" applyFont="1" applyFill="1" applyBorder="1" applyAlignment="1" applyProtection="1">
      <alignment horizontal="center" vertical="center" wrapText="1"/>
    </xf>
    <xf numFmtId="165" fontId="6" fillId="2" borderId="1" xfId="1" applyNumberFormat="1" applyFont="1" applyFill="1" applyBorder="1" applyAlignment="1" applyProtection="1">
      <alignment horizontal="right" vertical="center" wrapText="1"/>
    </xf>
    <xf numFmtId="0" fontId="5" fillId="0" borderId="0" xfId="0" applyFont="1" applyAlignment="1">
      <alignment horizontal="center"/>
    </xf>
    <xf numFmtId="0" fontId="9" fillId="0" borderId="0" xfId="1" applyFont="1" applyFill="1" applyBorder="1" applyAlignment="1" applyProtection="1">
      <alignment horizontal="left" vertical="center"/>
    </xf>
    <xf numFmtId="165" fontId="5" fillId="0" borderId="0" xfId="0" applyNumberFormat="1" applyFont="1"/>
    <xf numFmtId="165" fontId="5" fillId="0" borderId="0" xfId="0" applyNumberFormat="1" applyFont="1" applyAlignment="1">
      <alignment vertical="center"/>
    </xf>
    <xf numFmtId="165" fontId="6" fillId="0" borderId="0" xfId="1" applyNumberFormat="1" applyFont="1" applyFill="1" applyAlignment="1" applyProtection="1">
      <alignment horizontal="right" vertical="center"/>
    </xf>
    <xf numFmtId="165" fontId="6" fillId="2" borderId="1" xfId="1" applyNumberFormat="1" applyFont="1" applyFill="1" applyBorder="1" applyAlignment="1" applyProtection="1">
      <alignment horizontal="right" vertical="center"/>
    </xf>
    <xf numFmtId="165" fontId="5" fillId="0" borderId="0" xfId="0" applyNumberFormat="1" applyFont="1" applyAlignment="1">
      <alignment horizontal="right" vertical="center"/>
    </xf>
    <xf numFmtId="165" fontId="5" fillId="0" borderId="0" xfId="0" applyNumberFormat="1" applyFont="1" applyAlignment="1">
      <alignment horizontal="right"/>
    </xf>
    <xf numFmtId="2" fontId="5" fillId="0" borderId="0" xfId="0" applyNumberFormat="1" applyFont="1" applyAlignment="1">
      <alignment horizontal="right" vertical="center"/>
    </xf>
    <xf numFmtId="2" fontId="8" fillId="0" borderId="0" xfId="0" applyNumberFormat="1" applyFont="1" applyAlignment="1">
      <alignment horizontal="right" vertical="center" wrapText="1"/>
    </xf>
    <xf numFmtId="2" fontId="8" fillId="0" borderId="0" xfId="0" applyNumberFormat="1" applyFont="1" applyAlignment="1">
      <alignment horizontal="right" vertical="center"/>
    </xf>
    <xf numFmtId="2" fontId="8" fillId="2" borderId="1" xfId="2" applyNumberFormat="1" applyFont="1" applyFill="1" applyBorder="1" applyAlignment="1" applyProtection="1">
      <alignment horizontal="right" vertical="center"/>
      <protection locked="0"/>
    </xf>
    <xf numFmtId="0" fontId="8" fillId="0" borderId="0" xfId="2" applyFont="1" applyAlignment="1" applyProtection="1">
      <alignment vertical="center"/>
      <protection locked="0"/>
    </xf>
    <xf numFmtId="0" fontId="8" fillId="0" borderId="0" xfId="2" applyFont="1" applyProtection="1">
      <protection locked="0"/>
    </xf>
    <xf numFmtId="0" fontId="5" fillId="0" borderId="0" xfId="2" applyFont="1" applyProtection="1">
      <protection locked="0"/>
    </xf>
    <xf numFmtId="0" fontId="5" fillId="0" borderId="0" xfId="2" applyFont="1" applyAlignment="1" applyProtection="1">
      <alignment horizontal="center"/>
      <protection locked="0"/>
    </xf>
    <xf numFmtId="164" fontId="5" fillId="0" borderId="0" xfId="2" applyNumberFormat="1" applyFont="1" applyProtection="1">
      <protection locked="0"/>
    </xf>
    <xf numFmtId="2" fontId="5" fillId="0" borderId="0" xfId="2" applyNumberFormat="1" applyFont="1" applyAlignment="1" applyProtection="1">
      <alignment horizontal="right"/>
      <protection locked="0"/>
    </xf>
    <xf numFmtId="0" fontId="8" fillId="0" borderId="0" xfId="2" applyFont="1" applyProtection="1"/>
    <xf numFmtId="0" fontId="8" fillId="0" borderId="0" xfId="2" applyFont="1" applyFill="1" applyProtection="1"/>
    <xf numFmtId="0" fontId="5" fillId="0" borderId="0" xfId="2" applyFont="1" applyFill="1" applyAlignment="1" applyProtection="1">
      <alignment horizontal="left"/>
      <protection locked="0"/>
    </xf>
    <xf numFmtId="0" fontId="5" fillId="0" borderId="0" xfId="2" applyFont="1" applyFill="1" applyProtection="1">
      <protection locked="0"/>
    </xf>
    <xf numFmtId="164" fontId="5" fillId="0" borderId="0" xfId="2" applyNumberFormat="1" applyFont="1" applyFill="1" applyAlignment="1" applyProtection="1">
      <protection locked="0"/>
    </xf>
    <xf numFmtId="0" fontId="5" fillId="0" borderId="0" xfId="2" applyFont="1" applyFill="1" applyAlignment="1" applyProtection="1">
      <protection locked="0"/>
    </xf>
    <xf numFmtId="0" fontId="10" fillId="0" borderId="0" xfId="2" applyFont="1" applyBorder="1" applyAlignment="1" applyProtection="1"/>
    <xf numFmtId="0" fontId="5" fillId="0" borderId="0" xfId="2" applyFont="1" applyProtection="1"/>
    <xf numFmtId="0" fontId="5" fillId="0" borderId="0" xfId="2" applyFont="1" applyBorder="1" applyAlignment="1" applyProtection="1">
      <alignment wrapText="1"/>
    </xf>
    <xf numFmtId="2" fontId="5" fillId="0" borderId="0" xfId="2" applyNumberFormat="1" applyFont="1" applyAlignment="1" applyProtection="1">
      <alignment horizontal="right"/>
    </xf>
    <xf numFmtId="0" fontId="8" fillId="2" borderId="1" xfId="2" applyFont="1" applyFill="1" applyBorder="1" applyAlignment="1" applyProtection="1">
      <alignment horizontal="left" vertical="center"/>
      <protection locked="0"/>
    </xf>
    <xf numFmtId="0" fontId="8" fillId="2" borderId="1" xfId="2" applyFont="1" applyFill="1" applyBorder="1" applyAlignment="1" applyProtection="1">
      <alignment vertical="center"/>
      <protection locked="0"/>
    </xf>
    <xf numFmtId="0" fontId="8" fillId="2" borderId="1" xfId="2" applyFont="1" applyFill="1" applyBorder="1" applyAlignment="1" applyProtection="1">
      <alignment horizontal="center" vertical="center"/>
      <protection locked="0"/>
    </xf>
    <xf numFmtId="0" fontId="8" fillId="2" borderId="1" xfId="2" applyFont="1" applyFill="1" applyBorder="1" applyAlignment="1" applyProtection="1">
      <alignment horizontal="right" vertical="center" wrapText="1"/>
      <protection locked="0"/>
    </xf>
    <xf numFmtId="0" fontId="8" fillId="2" borderId="1" xfId="2" applyFont="1" applyFill="1" applyBorder="1" applyAlignment="1" applyProtection="1">
      <alignment horizontal="right" vertical="center"/>
      <protection locked="0"/>
    </xf>
    <xf numFmtId="0" fontId="5" fillId="0" borderId="0" xfId="2" applyNumberFormat="1" applyFont="1" applyAlignment="1" applyProtection="1">
      <alignment horizontal="left" vertical="center"/>
    </xf>
    <xf numFmtId="0" fontId="5" fillId="0" borderId="0" xfId="2" applyFont="1" applyAlignment="1" applyProtection="1">
      <alignment horizontal="center" vertical="center"/>
    </xf>
    <xf numFmtId="166" fontId="5" fillId="0" borderId="0" xfId="2" applyNumberFormat="1" applyFont="1" applyAlignment="1" applyProtection="1">
      <alignment vertical="center"/>
    </xf>
    <xf numFmtId="2" fontId="5" fillId="0" borderId="0" xfId="2" applyNumberFormat="1" applyFont="1" applyAlignment="1" applyProtection="1">
      <alignment horizontal="right" vertical="center"/>
    </xf>
    <xf numFmtId="167" fontId="5" fillId="0" borderId="0" xfId="2" applyNumberFormat="1" applyFont="1" applyAlignment="1" applyProtection="1">
      <alignment horizontal="right" vertical="center"/>
    </xf>
    <xf numFmtId="0" fontId="5" fillId="0" borderId="0" xfId="2" applyFont="1" applyAlignment="1" applyProtection="1">
      <alignment vertical="center"/>
      <protection locked="0"/>
    </xf>
    <xf numFmtId="0" fontId="5" fillId="0" borderId="0" xfId="2" applyNumberFormat="1" applyFont="1" applyAlignment="1" applyProtection="1">
      <alignment horizontal="left" vertical="center"/>
      <protection locked="0"/>
    </xf>
    <xf numFmtId="0" fontId="5" fillId="0" borderId="0" xfId="2" applyFont="1" applyAlignment="1" applyProtection="1">
      <alignment horizontal="center" vertical="center"/>
      <protection locked="0"/>
    </xf>
    <xf numFmtId="166" fontId="5" fillId="0" borderId="0" xfId="2" applyNumberFormat="1" applyFont="1" applyAlignment="1" applyProtection="1">
      <alignment vertical="center"/>
      <protection locked="0"/>
    </xf>
    <xf numFmtId="2" fontId="5" fillId="0" borderId="0" xfId="2" applyNumberFormat="1" applyFont="1" applyAlignment="1" applyProtection="1">
      <alignment horizontal="right" vertical="center"/>
      <protection locked="0"/>
    </xf>
    <xf numFmtId="0" fontId="5" fillId="0" borderId="0" xfId="2" applyFont="1" applyAlignment="1" applyProtection="1">
      <alignment vertical="center"/>
    </xf>
    <xf numFmtId="0" fontId="8" fillId="0" borderId="0" xfId="2" applyNumberFormat="1" applyFont="1" applyAlignment="1" applyProtection="1">
      <alignment horizontal="left" vertical="center"/>
      <protection locked="0"/>
    </xf>
    <xf numFmtId="0" fontId="5" fillId="0" borderId="0" xfId="2" applyFont="1" applyBorder="1" applyAlignment="1" applyProtection="1">
      <alignment vertical="center"/>
      <protection locked="0"/>
    </xf>
    <xf numFmtId="0" fontId="5" fillId="0" borderId="2" xfId="2" applyFont="1" applyBorder="1" applyAlignment="1" applyProtection="1">
      <alignment vertical="center"/>
      <protection locked="0"/>
    </xf>
    <xf numFmtId="0" fontId="5" fillId="0" borderId="2" xfId="2" applyFont="1" applyBorder="1" applyAlignment="1" applyProtection="1">
      <alignment horizontal="center" vertical="center"/>
      <protection locked="0"/>
    </xf>
    <xf numFmtId="166" fontId="5" fillId="0" borderId="2" xfId="2" applyNumberFormat="1" applyFont="1" applyBorder="1" applyAlignment="1" applyProtection="1">
      <alignment vertical="center"/>
      <protection locked="0"/>
    </xf>
    <xf numFmtId="2" fontId="5" fillId="0" borderId="2" xfId="2" applyNumberFormat="1" applyFont="1" applyBorder="1" applyAlignment="1" applyProtection="1">
      <alignment horizontal="right" vertical="center"/>
      <protection locked="0"/>
    </xf>
    <xf numFmtId="2" fontId="8" fillId="0" borderId="2" xfId="2" applyNumberFormat="1" applyFont="1" applyBorder="1" applyAlignment="1" applyProtection="1">
      <alignment vertical="center"/>
      <protection locked="0"/>
    </xf>
    <xf numFmtId="0" fontId="5" fillId="0" borderId="3" xfId="2" applyFont="1" applyBorder="1" applyAlignment="1" applyProtection="1">
      <alignment vertical="center"/>
      <protection locked="0"/>
    </xf>
    <xf numFmtId="0" fontId="5" fillId="0" borderId="3" xfId="2" applyFont="1" applyBorder="1" applyAlignment="1" applyProtection="1">
      <alignment horizontal="center" vertical="center"/>
      <protection locked="0"/>
    </xf>
    <xf numFmtId="168" fontId="8" fillId="0" borderId="3" xfId="3" applyNumberFormat="1" applyFont="1" applyFill="1" applyBorder="1" applyAlignment="1" applyProtection="1">
      <alignment horizontal="center" vertical="center"/>
      <protection locked="0"/>
    </xf>
    <xf numFmtId="169" fontId="5" fillId="0" borderId="0" xfId="2" applyNumberFormat="1" applyFont="1" applyAlignment="1" applyProtection="1">
      <alignment vertical="center"/>
      <protection locked="0"/>
    </xf>
    <xf numFmtId="2" fontId="5" fillId="0" borderId="3" xfId="2" applyNumberFormat="1" applyFont="1" applyBorder="1" applyAlignment="1" applyProtection="1">
      <alignment horizontal="right" vertical="center"/>
      <protection locked="0"/>
    </xf>
    <xf numFmtId="2" fontId="8" fillId="0" borderId="3" xfId="2" applyNumberFormat="1" applyFont="1" applyBorder="1" applyAlignment="1" applyProtection="1">
      <alignment vertical="center"/>
      <protection locked="0"/>
    </xf>
    <xf numFmtId="166" fontId="8" fillId="2" borderId="1" xfId="2" applyNumberFormat="1" applyFont="1" applyFill="1" applyBorder="1" applyAlignment="1" applyProtection="1">
      <alignment horizontal="right" vertical="center"/>
      <protection locked="0"/>
    </xf>
    <xf numFmtId="0" fontId="11" fillId="0" borderId="0" xfId="2" applyFont="1" applyProtection="1">
      <protection locked="0"/>
    </xf>
    <xf numFmtId="0" fontId="5" fillId="0" borderId="0" xfId="2" quotePrefix="1" applyFont="1" applyProtection="1">
      <protection locked="0"/>
    </xf>
    <xf numFmtId="0" fontId="10" fillId="0" borderId="0" xfId="2" applyFont="1" applyProtection="1">
      <protection locked="0"/>
    </xf>
    <xf numFmtId="0" fontId="5" fillId="0" borderId="0" xfId="2" applyFont="1" applyAlignment="1" applyProtection="1">
      <alignment horizontal="left"/>
      <protection locked="0"/>
    </xf>
    <xf numFmtId="0" fontId="6" fillId="0" borderId="0" xfId="2" applyFont="1" applyAlignment="1" applyProtection="1">
      <alignment horizontal="left"/>
      <protection locked="0"/>
    </xf>
    <xf numFmtId="166" fontId="0" fillId="0" borderId="0" xfId="2" applyNumberFormat="1" applyFont="1" applyAlignment="1" applyProtection="1">
      <alignment vertical="center"/>
    </xf>
    <xf numFmtId="0" fontId="8" fillId="2" borderId="1" xfId="2" applyFont="1" applyFill="1" applyBorder="1" applyAlignment="1" applyProtection="1">
      <alignment horizontal="center" vertical="center"/>
      <protection locked="0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Percent 2" xfId="3" xr:uid="{00000000-0005-0000-0000-000003000000}"/>
  </cellStyles>
  <dxfs count="5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4.9989318521683403E-2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12700</xdr:colOff>
      <xdr:row>3</xdr:row>
      <xdr:rowOff>152400</xdr:rowOff>
    </xdr:from>
    <xdr:to>
      <xdr:col>13</xdr:col>
      <xdr:colOff>266700</xdr:colOff>
      <xdr:row>5</xdr:row>
      <xdr:rowOff>88900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11137900" y="622300"/>
          <a:ext cx="10541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12700</xdr:colOff>
      <xdr:row>5</xdr:row>
      <xdr:rowOff>127000</xdr:rowOff>
    </xdr:from>
    <xdr:to>
      <xdr:col>13</xdr:col>
      <xdr:colOff>266700</xdr:colOff>
      <xdr:row>7</xdr:row>
      <xdr:rowOff>76200</xdr:rowOff>
    </xdr:to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1137900" y="952500"/>
          <a:ext cx="10541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12700</xdr:colOff>
      <xdr:row>7</xdr:row>
      <xdr:rowOff>114300</xdr:rowOff>
    </xdr:from>
    <xdr:to>
      <xdr:col>13</xdr:col>
      <xdr:colOff>266700</xdr:colOff>
      <xdr:row>9</xdr:row>
      <xdr:rowOff>63500</xdr:rowOff>
    </xdr:to>
    <xdr:sp macro="" textlink="">
      <xdr:nvSpPr>
        <xdr:cNvPr id="4" name="CommandButton3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1137900" y="1295400"/>
          <a:ext cx="10541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4</xdr:row>
      <xdr:rowOff>0</xdr:rowOff>
    </xdr:from>
    <xdr:to>
      <xdr:col>14</xdr:col>
      <xdr:colOff>0</xdr:colOff>
      <xdr:row>5</xdr:row>
      <xdr:rowOff>152400</xdr:rowOff>
    </xdr:to>
    <xdr:sp macro="" textlink="">
      <xdr:nvSpPr>
        <xdr:cNvPr id="1026" name="SaveAsPDF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6</xdr:row>
      <xdr:rowOff>0</xdr:rowOff>
    </xdr:from>
    <xdr:to>
      <xdr:col>14</xdr:col>
      <xdr:colOff>0</xdr:colOff>
      <xdr:row>7</xdr:row>
      <xdr:rowOff>152400</xdr:rowOff>
    </xdr:to>
    <xdr:sp macro="" textlink="">
      <xdr:nvSpPr>
        <xdr:cNvPr id="1027" name="PrintPage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7</xdr:row>
      <xdr:rowOff>177800</xdr:rowOff>
    </xdr:from>
    <xdr:to>
      <xdr:col>14</xdr:col>
      <xdr:colOff>0</xdr:colOff>
      <xdr:row>10</xdr:row>
      <xdr:rowOff>1587</xdr:rowOff>
    </xdr:to>
    <xdr:sp macro="" textlink="">
      <xdr:nvSpPr>
        <xdr:cNvPr id="1028" name="EmailFactory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3</xdr:row>
      <xdr:rowOff>57150</xdr:rowOff>
    </xdr:from>
    <xdr:to>
      <xdr:col>14</xdr:col>
      <xdr:colOff>0</xdr:colOff>
      <xdr:row>5</xdr:row>
      <xdr:rowOff>57150</xdr:rowOff>
    </xdr:to>
    <xdr:pic>
      <xdr:nvPicPr>
        <xdr:cNvPr id="5" name="SaveAsPDF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25200" y="523875"/>
          <a:ext cx="1471613" cy="3524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0</xdr:colOff>
      <xdr:row>5</xdr:row>
      <xdr:rowOff>52388</xdr:rowOff>
    </xdr:from>
    <xdr:to>
      <xdr:col>14</xdr:col>
      <xdr:colOff>0</xdr:colOff>
      <xdr:row>7</xdr:row>
      <xdr:rowOff>57150</xdr:rowOff>
    </xdr:to>
    <xdr:pic>
      <xdr:nvPicPr>
        <xdr:cNvPr id="6" name="PrintPag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25200" y="871538"/>
          <a:ext cx="1471613" cy="35718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0</xdr:colOff>
      <xdr:row>7</xdr:row>
      <xdr:rowOff>66675</xdr:rowOff>
    </xdr:from>
    <xdr:to>
      <xdr:col>14</xdr:col>
      <xdr:colOff>0</xdr:colOff>
      <xdr:row>9</xdr:row>
      <xdr:rowOff>66675</xdr:rowOff>
    </xdr:to>
    <xdr:pic>
      <xdr:nvPicPr>
        <xdr:cNvPr id="7" name="EmailFactory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25200" y="1238250"/>
          <a:ext cx="1471613" cy="3524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73"/>
  <sheetViews>
    <sheetView tabSelected="1" zoomScale="85" zoomScaleNormal="85" workbookViewId="0">
      <selection activeCell="J13" sqref="J13"/>
    </sheetView>
  </sheetViews>
  <sheetFormatPr baseColWidth="10" defaultColWidth="10.83203125" defaultRowHeight="16" x14ac:dyDescent="0.2"/>
  <cols>
    <col min="1" max="1" width="18.1640625" style="3" customWidth="1"/>
    <col min="2" max="8" width="12.5" style="3" customWidth="1"/>
    <col min="9" max="10" width="12.5" style="20" customWidth="1"/>
    <col min="11" max="26" width="12.5" style="26" customWidth="1"/>
    <col min="27" max="16384" width="10.83203125" style="3"/>
  </cols>
  <sheetData>
    <row r="1" spans="1:26" ht="21" x14ac:dyDescent="0.2">
      <c r="A1" s="19" t="s">
        <v>0</v>
      </c>
    </row>
    <row r="2" spans="1:26" s="4" customFormat="1" ht="15.5" customHeight="1" x14ac:dyDescent="0.2">
      <c r="I2" s="21"/>
      <c r="J2" s="21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s="4" customFormat="1" ht="15.5" customHeight="1" x14ac:dyDescent="0.2">
      <c r="A3" s="5" t="s">
        <v>1</v>
      </c>
      <c r="E3" s="5" t="s">
        <v>2</v>
      </c>
      <c r="I3" s="22" t="s">
        <v>3</v>
      </c>
      <c r="J3" s="21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s="4" customFormat="1" ht="15.5" customHeight="1" x14ac:dyDescent="0.2">
      <c r="I4" s="21"/>
      <c r="J4" s="21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s="4" customFormat="1" ht="15.5" customHeight="1" x14ac:dyDescent="0.2">
      <c r="A5" s="6" t="s">
        <v>4</v>
      </c>
      <c r="G5" s="6" t="s">
        <v>11</v>
      </c>
      <c r="I5" s="21"/>
      <c r="J5" s="21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s="4" customFormat="1" ht="15.5" customHeight="1" x14ac:dyDescent="0.2">
      <c r="A6" s="6" t="s">
        <v>5</v>
      </c>
      <c r="I6" s="21"/>
      <c r="J6" s="21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s="4" customFormat="1" ht="15.5" customHeight="1" x14ac:dyDescent="0.2">
      <c r="A7" s="6" t="s">
        <v>6</v>
      </c>
      <c r="I7" s="21"/>
      <c r="J7" s="21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s="4" customFormat="1" ht="15.5" customHeight="1" x14ac:dyDescent="0.2">
      <c r="A8" s="6" t="s">
        <v>7</v>
      </c>
      <c r="I8" s="21"/>
      <c r="J8" s="21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s="4" customFormat="1" ht="15.5" customHeight="1" x14ac:dyDescent="0.2">
      <c r="A9" s="7" t="s">
        <v>8</v>
      </c>
      <c r="I9" s="21"/>
      <c r="J9" s="21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s="4" customFormat="1" ht="15.5" customHeight="1" x14ac:dyDescent="0.2">
      <c r="A10" s="7" t="s">
        <v>9</v>
      </c>
      <c r="I10" s="21"/>
      <c r="J10" s="21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s="4" customFormat="1" ht="15.5" customHeight="1" x14ac:dyDescent="0.2">
      <c r="A11" s="6" t="s">
        <v>10</v>
      </c>
      <c r="I11" s="21"/>
      <c r="J11" s="21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s="4" customFormat="1" ht="15.5" customHeight="1" x14ac:dyDescent="0.2">
      <c r="I12" s="21"/>
      <c r="J12" s="21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s="4" customFormat="1" ht="15.5" customHeight="1" x14ac:dyDescent="0.2">
      <c r="A13" s="8" t="s">
        <v>12</v>
      </c>
      <c r="B13" s="8" t="s">
        <v>13</v>
      </c>
      <c r="C13" s="9"/>
      <c r="D13" s="10"/>
      <c r="E13" s="8" t="s">
        <v>14</v>
      </c>
      <c r="F13" s="11"/>
      <c r="G13" s="11"/>
      <c r="H13" s="12" t="s">
        <v>15</v>
      </c>
      <c r="I13" s="23" t="s">
        <v>16</v>
      </c>
      <c r="J13" s="17" t="s">
        <v>17</v>
      </c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s="4" customFormat="1" ht="15.5" customHeight="1" x14ac:dyDescent="0.2">
      <c r="A14" s="13"/>
      <c r="H14" s="14"/>
      <c r="I14" s="24"/>
      <c r="J14" s="24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s="4" customFormat="1" ht="15.5" customHeight="1" x14ac:dyDescent="0.2">
      <c r="A15" s="13"/>
      <c r="H15" s="14"/>
      <c r="I15" s="24"/>
      <c r="J15" s="24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s="4" customFormat="1" ht="15.5" customHeight="1" x14ac:dyDescent="0.2">
      <c r="A16" s="13"/>
      <c r="H16" s="14"/>
      <c r="I16" s="24"/>
      <c r="J16" s="24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s="4" customFormat="1" ht="15.5" customHeight="1" x14ac:dyDescent="0.2">
      <c r="A17" s="13"/>
      <c r="H17" s="14"/>
      <c r="I17" s="24"/>
      <c r="J17" s="24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s="4" customFormat="1" ht="15.5" customHeight="1" x14ac:dyDescent="0.2">
      <c r="A18" s="13"/>
      <c r="H18" s="14"/>
      <c r="I18" s="24"/>
      <c r="J18" s="24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s="4" customFormat="1" ht="15.5" customHeight="1" x14ac:dyDescent="0.2">
      <c r="A19" s="13"/>
      <c r="H19" s="14"/>
      <c r="I19" s="24"/>
      <c r="J19" s="24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s="4" customFormat="1" ht="15.5" customHeight="1" x14ac:dyDescent="0.2">
      <c r="A20" s="13"/>
      <c r="H20" s="14"/>
      <c r="I20" s="24"/>
      <c r="J20" s="24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s="4" customFormat="1" ht="15.5" customHeight="1" x14ac:dyDescent="0.2">
      <c r="A21" s="13"/>
      <c r="H21" s="14"/>
      <c r="I21" s="24"/>
      <c r="J21" s="24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s="4" customFormat="1" ht="15.5" customHeight="1" x14ac:dyDescent="0.2">
      <c r="A22" s="13"/>
      <c r="H22" s="14"/>
      <c r="I22" s="24"/>
      <c r="J22" s="24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s="4" customFormat="1" ht="15.5" customHeight="1" x14ac:dyDescent="0.2">
      <c r="A23" s="13"/>
      <c r="H23" s="14"/>
      <c r="I23" s="24"/>
      <c r="J23" s="24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s="4" customFormat="1" ht="15.5" customHeight="1" x14ac:dyDescent="0.2">
      <c r="A24" s="13"/>
      <c r="H24" s="14"/>
      <c r="I24" s="24"/>
      <c r="J24" s="24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s="4" customFormat="1" ht="15.5" customHeight="1" x14ac:dyDescent="0.2">
      <c r="A25" s="13"/>
      <c r="H25" s="14"/>
      <c r="I25" s="24"/>
      <c r="J25" s="24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s="4" customFormat="1" ht="15.5" customHeight="1" x14ac:dyDescent="0.2">
      <c r="A26" s="13"/>
      <c r="H26" s="14"/>
      <c r="I26" s="24"/>
      <c r="J26" s="24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s="4" customFormat="1" ht="15.5" customHeight="1" x14ac:dyDescent="0.2">
      <c r="A27" s="13"/>
      <c r="H27" s="14"/>
      <c r="I27" s="24"/>
      <c r="J27" s="24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s="4" customFormat="1" ht="15.5" customHeight="1" x14ac:dyDescent="0.2">
      <c r="A28" s="13"/>
      <c r="H28" s="14"/>
      <c r="I28" s="24"/>
      <c r="J28" s="24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s="4" customFormat="1" ht="15.5" customHeight="1" x14ac:dyDescent="0.2">
      <c r="A29" s="13"/>
      <c r="H29" s="14"/>
      <c r="I29" s="24"/>
      <c r="J29" s="24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s="4" customFormat="1" ht="15.5" customHeight="1" x14ac:dyDescent="0.2">
      <c r="A30" s="13"/>
      <c r="H30" s="14"/>
      <c r="I30" s="24"/>
      <c r="J30" s="24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s="4" customFormat="1" ht="15.5" customHeight="1" x14ac:dyDescent="0.2">
      <c r="A31" s="13"/>
      <c r="H31" s="14"/>
      <c r="I31" s="24"/>
      <c r="J31" s="24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s="4" customFormat="1" ht="15.5" customHeight="1" x14ac:dyDescent="0.2">
      <c r="A32" s="13"/>
      <c r="H32" s="14"/>
      <c r="I32" s="24"/>
      <c r="J32" s="24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s="4" customFormat="1" ht="15.5" customHeight="1" x14ac:dyDescent="0.2">
      <c r="A33" s="13"/>
      <c r="H33" s="14"/>
      <c r="I33" s="24"/>
      <c r="J33" s="24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s="4" customFormat="1" ht="15.5" customHeight="1" x14ac:dyDescent="0.2">
      <c r="A34" s="13"/>
      <c r="H34" s="14"/>
      <c r="I34" s="24"/>
      <c r="J34" s="24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s="4" customFormat="1" ht="15.5" customHeight="1" x14ac:dyDescent="0.2">
      <c r="A35" s="13"/>
      <c r="H35" s="14"/>
      <c r="I35" s="24"/>
      <c r="J35" s="24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s="4" customFormat="1" ht="15.5" customHeight="1" x14ac:dyDescent="0.2">
      <c r="A36" s="13"/>
      <c r="H36" s="14"/>
      <c r="I36" s="24"/>
      <c r="J36" s="24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s="4" customFormat="1" ht="15.5" customHeight="1" x14ac:dyDescent="0.2">
      <c r="A37" s="13"/>
      <c r="H37" s="14"/>
      <c r="I37" s="24"/>
      <c r="J37" s="24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s="4" customFormat="1" ht="15.5" customHeight="1" x14ac:dyDescent="0.2">
      <c r="A38" s="13"/>
      <c r="H38" s="14"/>
      <c r="I38" s="24"/>
      <c r="J38" s="24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s="4" customFormat="1" ht="15.5" customHeight="1" x14ac:dyDescent="0.2">
      <c r="A39" s="13"/>
      <c r="F39" s="15" t="s">
        <v>18</v>
      </c>
      <c r="G39" s="15"/>
      <c r="H39" s="16"/>
      <c r="I39" s="17"/>
      <c r="J39" s="17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x14ac:dyDescent="0.2">
      <c r="H40" s="18"/>
      <c r="I40" s="25"/>
      <c r="J40" s="25"/>
    </row>
    <row r="41" spans="1:26" x14ac:dyDescent="0.2">
      <c r="H41" s="18"/>
      <c r="I41" s="25"/>
      <c r="J41" s="25"/>
    </row>
    <row r="42" spans="1:26" x14ac:dyDescent="0.2">
      <c r="H42" s="18"/>
      <c r="I42" s="25"/>
      <c r="J42" s="25"/>
    </row>
    <row r="43" spans="1:26" x14ac:dyDescent="0.2">
      <c r="H43" s="18"/>
      <c r="I43" s="25"/>
      <c r="J43" s="25"/>
    </row>
    <row r="44" spans="1:26" x14ac:dyDescent="0.2">
      <c r="H44" s="18"/>
      <c r="I44" s="25"/>
      <c r="J44" s="25"/>
    </row>
    <row r="45" spans="1:26" x14ac:dyDescent="0.2">
      <c r="H45" s="18"/>
      <c r="I45" s="25"/>
      <c r="J45" s="25"/>
    </row>
    <row r="46" spans="1:26" x14ac:dyDescent="0.2">
      <c r="H46" s="18"/>
      <c r="I46" s="25"/>
      <c r="J46" s="25"/>
    </row>
    <row r="47" spans="1:26" x14ac:dyDescent="0.2">
      <c r="H47" s="18"/>
      <c r="I47" s="25"/>
      <c r="J47" s="25"/>
    </row>
    <row r="48" spans="1:26" x14ac:dyDescent="0.2">
      <c r="H48" s="18"/>
      <c r="I48" s="25"/>
      <c r="J48" s="25"/>
    </row>
    <row r="49" spans="8:10" x14ac:dyDescent="0.2">
      <c r="H49" s="18"/>
      <c r="I49" s="25"/>
      <c r="J49" s="25"/>
    </row>
    <row r="50" spans="8:10" x14ac:dyDescent="0.2">
      <c r="H50" s="18"/>
      <c r="I50" s="25"/>
      <c r="J50" s="25"/>
    </row>
    <row r="51" spans="8:10" x14ac:dyDescent="0.2">
      <c r="H51" s="18"/>
      <c r="I51" s="25"/>
      <c r="J51" s="25"/>
    </row>
    <row r="52" spans="8:10" x14ac:dyDescent="0.2">
      <c r="H52" s="18"/>
      <c r="I52" s="25"/>
      <c r="J52" s="25"/>
    </row>
    <row r="53" spans="8:10" x14ac:dyDescent="0.2">
      <c r="H53" s="18"/>
      <c r="I53" s="25"/>
      <c r="J53" s="25"/>
    </row>
    <row r="54" spans="8:10" x14ac:dyDescent="0.2">
      <c r="H54" s="18"/>
      <c r="I54" s="25"/>
      <c r="J54" s="25"/>
    </row>
    <row r="55" spans="8:10" x14ac:dyDescent="0.2">
      <c r="H55" s="18"/>
      <c r="I55" s="25"/>
      <c r="J55" s="25"/>
    </row>
    <row r="56" spans="8:10" x14ac:dyDescent="0.2">
      <c r="H56" s="18"/>
      <c r="I56" s="25"/>
      <c r="J56" s="25"/>
    </row>
    <row r="57" spans="8:10" x14ac:dyDescent="0.2">
      <c r="H57" s="18"/>
      <c r="I57" s="25"/>
      <c r="J57" s="25"/>
    </row>
    <row r="58" spans="8:10" x14ac:dyDescent="0.2">
      <c r="H58" s="18"/>
      <c r="I58" s="25"/>
      <c r="J58" s="25"/>
    </row>
    <row r="59" spans="8:10" x14ac:dyDescent="0.2">
      <c r="H59" s="18"/>
      <c r="I59" s="25"/>
      <c r="J59" s="25"/>
    </row>
    <row r="60" spans="8:10" x14ac:dyDescent="0.2">
      <c r="H60" s="18"/>
      <c r="I60" s="25"/>
      <c r="J60" s="25"/>
    </row>
    <row r="61" spans="8:10" x14ac:dyDescent="0.2">
      <c r="H61" s="18"/>
    </row>
    <row r="62" spans="8:10" x14ac:dyDescent="0.2">
      <c r="H62" s="18"/>
    </row>
    <row r="63" spans="8:10" x14ac:dyDescent="0.2">
      <c r="H63" s="18"/>
    </row>
    <row r="64" spans="8:10" x14ac:dyDescent="0.2">
      <c r="H64" s="18"/>
    </row>
    <row r="65" spans="8:8" x14ac:dyDescent="0.2">
      <c r="H65" s="18"/>
    </row>
    <row r="66" spans="8:8" x14ac:dyDescent="0.2">
      <c r="H66" s="18"/>
    </row>
    <row r="67" spans="8:8" x14ac:dyDescent="0.2">
      <c r="H67" s="18"/>
    </row>
    <row r="68" spans="8:8" x14ac:dyDescent="0.2">
      <c r="H68" s="18"/>
    </row>
    <row r="69" spans="8:8" x14ac:dyDescent="0.2">
      <c r="H69" s="18"/>
    </row>
    <row r="70" spans="8:8" x14ac:dyDescent="0.2">
      <c r="H70" s="18"/>
    </row>
    <row r="71" spans="8:8" x14ac:dyDescent="0.2">
      <c r="H71" s="18"/>
    </row>
    <row r="72" spans="8:8" x14ac:dyDescent="0.2">
      <c r="H72" s="18"/>
    </row>
    <row r="73" spans="8:8" x14ac:dyDescent="0.2">
      <c r="H73" s="18"/>
    </row>
  </sheetData>
  <conditionalFormatting sqref="K13:Z13 K39:Z39">
    <cfRule type="expression" dxfId="4" priority="1">
      <formula>K$13&lt;&gt;""</formula>
    </cfRule>
  </conditionalFormatting>
  <pageMargins left="0.45" right="0.45" top="0.75" bottom="0.75" header="0.3" footer="0.3"/>
  <pageSetup scale="69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K83"/>
  <sheetViews>
    <sheetView showGridLines="0" zoomScaleNormal="100" workbookViewId="0">
      <selection activeCell="G18" sqref="G18"/>
    </sheetView>
  </sheetViews>
  <sheetFormatPr baseColWidth="10" defaultColWidth="8.83203125" defaultRowHeight="16" x14ac:dyDescent="0.2"/>
  <cols>
    <col min="1" max="6" width="12.5" style="32" customWidth="1"/>
    <col min="7" max="7" width="12.5" style="33" customWidth="1"/>
    <col min="8" max="9" width="12.5" style="32" customWidth="1"/>
    <col min="10" max="11" width="11.5" style="35" customWidth="1"/>
    <col min="12" max="13" width="10.5" style="32" customWidth="1"/>
    <col min="14" max="16384" width="8.83203125" style="32"/>
  </cols>
  <sheetData>
    <row r="1" spans="1:11" s="30" customFormat="1" ht="18" customHeight="1" x14ac:dyDescent="0.2">
      <c r="A1" s="82" t="s">
        <v>60</v>
      </c>
      <c r="B1" s="82"/>
      <c r="C1" s="82"/>
      <c r="D1" s="82"/>
      <c r="E1" s="82"/>
      <c r="F1" s="82"/>
      <c r="G1" s="82"/>
      <c r="H1" s="82"/>
      <c r="I1" s="82"/>
      <c r="J1" s="29"/>
      <c r="K1" s="29"/>
    </row>
    <row r="2" spans="1:11" ht="5" customHeight="1" x14ac:dyDescent="0.2">
      <c r="A2" s="31"/>
      <c r="I2" s="34"/>
    </row>
    <row r="3" spans="1:11" ht="14" customHeight="1" x14ac:dyDescent="0.2">
      <c r="A3" s="36" t="s">
        <v>19</v>
      </c>
      <c r="D3" s="37" t="s">
        <v>20</v>
      </c>
      <c r="E3" s="38"/>
      <c r="F3" s="37"/>
      <c r="G3" s="39"/>
      <c r="H3" s="37" t="s">
        <v>3</v>
      </c>
      <c r="I3" s="40"/>
    </row>
    <row r="4" spans="1:11" ht="14" customHeight="1" x14ac:dyDescent="0.2">
      <c r="A4" s="41"/>
      <c r="B4" s="41"/>
      <c r="C4" s="38"/>
      <c r="D4" s="37" t="s">
        <v>9</v>
      </c>
      <c r="E4" s="41"/>
      <c r="F4" s="41"/>
      <c r="G4" s="32"/>
      <c r="H4" s="31"/>
      <c r="I4" s="34"/>
    </row>
    <row r="5" spans="1:11" ht="14" customHeight="1" x14ac:dyDescent="0.2">
      <c r="A5" s="41"/>
      <c r="B5" s="41"/>
      <c r="C5" s="41"/>
      <c r="D5" s="37" t="s">
        <v>21</v>
      </c>
      <c r="E5" s="41"/>
      <c r="F5" s="37"/>
      <c r="G5" s="39"/>
      <c r="H5" s="31"/>
      <c r="I5" s="34"/>
    </row>
    <row r="6" spans="1:11" ht="14" customHeight="1" x14ac:dyDescent="0.2">
      <c r="A6" s="41"/>
      <c r="B6" s="41"/>
      <c r="C6" s="41"/>
      <c r="D6" s="36"/>
      <c r="E6" s="41"/>
      <c r="F6" s="41"/>
      <c r="G6" s="41"/>
      <c r="H6" s="31"/>
      <c r="I6" s="34"/>
    </row>
    <row r="7" spans="1:11" ht="14" customHeight="1" x14ac:dyDescent="0.2">
      <c r="B7" s="41"/>
      <c r="C7" s="41"/>
      <c r="E7" s="37"/>
      <c r="F7" s="37"/>
      <c r="G7" s="41"/>
      <c r="H7" s="31"/>
      <c r="I7" s="34"/>
    </row>
    <row r="8" spans="1:11" ht="14" customHeight="1" x14ac:dyDescent="0.2">
      <c r="A8" s="42" t="s">
        <v>22</v>
      </c>
      <c r="B8" s="43"/>
      <c r="C8" s="43"/>
      <c r="D8" s="43"/>
      <c r="E8" s="43"/>
      <c r="F8" s="43"/>
      <c r="G8" s="44"/>
      <c r="H8" s="44"/>
      <c r="I8" s="44"/>
      <c r="J8" s="45"/>
      <c r="K8" s="45"/>
    </row>
    <row r="9" spans="1:11" ht="14" customHeight="1" x14ac:dyDescent="0.2">
      <c r="A9" s="43"/>
      <c r="B9" s="43"/>
      <c r="C9" s="43"/>
      <c r="D9" s="43"/>
      <c r="E9" s="43"/>
      <c r="F9" s="43"/>
      <c r="G9" s="44"/>
      <c r="H9" s="44"/>
      <c r="I9" s="44"/>
      <c r="J9" s="45"/>
      <c r="K9" s="45"/>
    </row>
    <row r="10" spans="1:11" ht="14" customHeight="1" x14ac:dyDescent="0.2">
      <c r="A10" s="46" t="s">
        <v>12</v>
      </c>
      <c r="B10" s="47" t="s">
        <v>13</v>
      </c>
      <c r="C10" s="47"/>
      <c r="D10" s="47" t="s">
        <v>14</v>
      </c>
      <c r="E10" s="47"/>
      <c r="F10" s="47"/>
      <c r="G10" s="48" t="s">
        <v>15</v>
      </c>
      <c r="H10" s="49" t="s">
        <v>23</v>
      </c>
      <c r="I10" s="50" t="s">
        <v>24</v>
      </c>
      <c r="J10" s="29" t="s">
        <v>25</v>
      </c>
      <c r="K10" s="29" t="s">
        <v>26</v>
      </c>
    </row>
    <row r="11" spans="1:11" s="56" customFormat="1" ht="14" customHeight="1" x14ac:dyDescent="0.2">
      <c r="A11" s="51"/>
      <c r="B11" s="51"/>
      <c r="C11" s="51"/>
      <c r="D11" s="51"/>
      <c r="E11" s="51"/>
      <c r="F11" s="51"/>
      <c r="G11" s="52"/>
      <c r="H11" s="53"/>
      <c r="I11" s="81">
        <f>IF(G11*H11&lt;&gt;0,G11*H11,0)</f>
        <v>0</v>
      </c>
      <c r="J11" s="54"/>
      <c r="K11" s="55">
        <f>IF(G11*J11&lt;&gt;0,G11*J11,0)</f>
        <v>0</v>
      </c>
    </row>
    <row r="12" spans="1:11" s="61" customFormat="1" ht="14" customHeight="1" x14ac:dyDescent="0.2">
      <c r="A12" s="57"/>
      <c r="B12" s="57"/>
      <c r="C12" s="57"/>
      <c r="D12" s="57"/>
      <c r="E12" s="57"/>
      <c r="F12" s="57"/>
      <c r="G12" s="58"/>
      <c r="H12" s="59"/>
      <c r="I12" s="81">
        <f t="shared" ref="I12:I47" si="0">IF(G12*H12&lt;&gt;0,G12*H12,0)</f>
        <v>0</v>
      </c>
      <c r="J12" s="60"/>
      <c r="K12" s="55">
        <f t="shared" ref="K12:K48" si="1">IF(G12*J12&lt;&gt;0,G12*J12,0)</f>
        <v>0</v>
      </c>
    </row>
    <row r="13" spans="1:11" s="56" customFormat="1" ht="15" customHeight="1" x14ac:dyDescent="0.2">
      <c r="A13" s="57"/>
      <c r="B13" s="57"/>
      <c r="C13" s="57"/>
      <c r="D13" s="57"/>
      <c r="E13" s="57"/>
      <c r="F13" s="57"/>
      <c r="G13" s="58"/>
      <c r="H13" s="59"/>
      <c r="I13" s="81">
        <f t="shared" si="0"/>
        <v>0</v>
      </c>
      <c r="J13" s="60"/>
      <c r="K13" s="55">
        <f t="shared" si="1"/>
        <v>0</v>
      </c>
    </row>
    <row r="14" spans="1:11" s="56" customFormat="1" x14ac:dyDescent="0.2">
      <c r="A14" s="57"/>
      <c r="B14" s="57"/>
      <c r="C14" s="57"/>
      <c r="D14" s="57"/>
      <c r="E14" s="57"/>
      <c r="F14" s="57"/>
      <c r="G14" s="58"/>
      <c r="H14" s="59"/>
      <c r="I14" s="81">
        <f t="shared" si="0"/>
        <v>0</v>
      </c>
      <c r="J14" s="60"/>
      <c r="K14" s="55">
        <f t="shared" si="1"/>
        <v>0</v>
      </c>
    </row>
    <row r="15" spans="1:11" s="56" customFormat="1" x14ac:dyDescent="0.2">
      <c r="A15" s="57"/>
      <c r="B15" s="57"/>
      <c r="C15" s="57"/>
      <c r="D15" s="57"/>
      <c r="E15" s="57"/>
      <c r="F15" s="57"/>
      <c r="G15" s="58"/>
      <c r="H15" s="59"/>
      <c r="I15" s="81">
        <f t="shared" si="0"/>
        <v>0</v>
      </c>
      <c r="J15" s="60"/>
      <c r="K15" s="55">
        <f t="shared" si="1"/>
        <v>0</v>
      </c>
    </row>
    <row r="16" spans="1:11" s="56" customFormat="1" x14ac:dyDescent="0.2">
      <c r="A16" s="57"/>
      <c r="B16" s="57"/>
      <c r="C16" s="57"/>
      <c r="D16" s="57"/>
      <c r="E16" s="57"/>
      <c r="F16" s="57"/>
      <c r="G16" s="58"/>
      <c r="H16" s="59"/>
      <c r="I16" s="81">
        <f t="shared" si="0"/>
        <v>0</v>
      </c>
      <c r="J16" s="60"/>
      <c r="K16" s="55">
        <f t="shared" si="1"/>
        <v>0</v>
      </c>
    </row>
    <row r="17" spans="1:11" s="56" customFormat="1" x14ac:dyDescent="0.2">
      <c r="A17" s="57"/>
      <c r="B17" s="57"/>
      <c r="C17" s="57"/>
      <c r="D17" s="57"/>
      <c r="E17" s="57"/>
      <c r="F17" s="57"/>
      <c r="G17" s="58"/>
      <c r="H17" s="59"/>
      <c r="I17" s="81">
        <f t="shared" si="0"/>
        <v>0</v>
      </c>
      <c r="J17" s="60"/>
      <c r="K17" s="55">
        <f t="shared" si="1"/>
        <v>0</v>
      </c>
    </row>
    <row r="18" spans="1:11" s="56" customFormat="1" x14ac:dyDescent="0.2">
      <c r="A18" s="57"/>
      <c r="B18" s="57"/>
      <c r="C18" s="57"/>
      <c r="D18" s="57"/>
      <c r="E18" s="57"/>
      <c r="F18" s="57"/>
      <c r="G18" s="58"/>
      <c r="H18" s="59"/>
      <c r="I18" s="81">
        <f t="shared" si="0"/>
        <v>0</v>
      </c>
      <c r="J18" s="60"/>
      <c r="K18" s="55">
        <f t="shared" si="1"/>
        <v>0</v>
      </c>
    </row>
    <row r="19" spans="1:11" s="56" customFormat="1" x14ac:dyDescent="0.2">
      <c r="A19" s="57"/>
      <c r="B19" s="57"/>
      <c r="C19" s="57"/>
      <c r="D19" s="57"/>
      <c r="E19" s="57"/>
      <c r="F19" s="57"/>
      <c r="G19" s="58"/>
      <c r="H19" s="59"/>
      <c r="I19" s="81">
        <f t="shared" si="0"/>
        <v>0</v>
      </c>
      <c r="J19" s="60"/>
      <c r="K19" s="55">
        <f t="shared" si="1"/>
        <v>0</v>
      </c>
    </row>
    <row r="20" spans="1:11" s="56" customFormat="1" x14ac:dyDescent="0.2">
      <c r="A20" s="57"/>
      <c r="B20" s="57"/>
      <c r="C20" s="57"/>
      <c r="D20" s="57"/>
      <c r="E20" s="57"/>
      <c r="F20" s="57"/>
      <c r="G20" s="58"/>
      <c r="H20" s="59"/>
      <c r="I20" s="81">
        <f t="shared" si="0"/>
        <v>0</v>
      </c>
      <c r="J20" s="60"/>
      <c r="K20" s="55">
        <f t="shared" si="1"/>
        <v>0</v>
      </c>
    </row>
    <row r="21" spans="1:11" s="56" customFormat="1" x14ac:dyDescent="0.2">
      <c r="A21" s="57"/>
      <c r="B21" s="62"/>
      <c r="C21" s="62"/>
      <c r="D21" s="57"/>
      <c r="E21" s="57"/>
      <c r="F21" s="57"/>
      <c r="G21" s="58"/>
      <c r="H21" s="59"/>
      <c r="I21" s="81">
        <f t="shared" si="0"/>
        <v>0</v>
      </c>
      <c r="J21" s="60"/>
      <c r="K21" s="55">
        <f t="shared" si="1"/>
        <v>0</v>
      </c>
    </row>
    <row r="22" spans="1:11" s="56" customFormat="1" x14ac:dyDescent="0.2">
      <c r="A22" s="57"/>
      <c r="B22" s="57"/>
      <c r="C22" s="57"/>
      <c r="D22" s="57"/>
      <c r="E22" s="57"/>
      <c r="F22" s="57"/>
      <c r="G22" s="58"/>
      <c r="H22" s="59"/>
      <c r="I22" s="81">
        <f t="shared" si="0"/>
        <v>0</v>
      </c>
      <c r="J22" s="60"/>
      <c r="K22" s="55">
        <f t="shared" si="1"/>
        <v>0</v>
      </c>
    </row>
    <row r="23" spans="1:11" s="56" customFormat="1" x14ac:dyDescent="0.2">
      <c r="A23" s="57"/>
      <c r="B23" s="62"/>
      <c r="C23" s="62"/>
      <c r="D23" s="57"/>
      <c r="E23" s="57"/>
      <c r="F23" s="57"/>
      <c r="G23" s="58"/>
      <c r="H23" s="59"/>
      <c r="I23" s="81">
        <f t="shared" si="0"/>
        <v>0</v>
      </c>
      <c r="J23" s="60"/>
      <c r="K23" s="55">
        <f t="shared" si="1"/>
        <v>0</v>
      </c>
    </row>
    <row r="24" spans="1:11" s="56" customFormat="1" x14ac:dyDescent="0.2">
      <c r="A24" s="57"/>
      <c r="B24" s="57"/>
      <c r="C24" s="57"/>
      <c r="D24" s="57"/>
      <c r="E24" s="57"/>
      <c r="F24" s="57"/>
      <c r="G24" s="58"/>
      <c r="H24" s="59"/>
      <c r="I24" s="81">
        <f t="shared" si="0"/>
        <v>0</v>
      </c>
      <c r="J24" s="60"/>
      <c r="K24" s="55">
        <f t="shared" si="1"/>
        <v>0</v>
      </c>
    </row>
    <row r="25" spans="1:11" s="56" customFormat="1" x14ac:dyDescent="0.2">
      <c r="A25" s="57"/>
      <c r="B25" s="62"/>
      <c r="C25" s="62"/>
      <c r="D25" s="57"/>
      <c r="E25" s="57"/>
      <c r="F25" s="57"/>
      <c r="G25" s="58"/>
      <c r="H25" s="59"/>
      <c r="I25" s="81">
        <f t="shared" si="0"/>
        <v>0</v>
      </c>
      <c r="J25" s="60"/>
      <c r="K25" s="55">
        <f t="shared" si="1"/>
        <v>0</v>
      </c>
    </row>
    <row r="26" spans="1:11" s="56" customFormat="1" x14ac:dyDescent="0.2">
      <c r="A26" s="62"/>
      <c r="B26" s="57"/>
      <c r="C26" s="57"/>
      <c r="D26" s="57"/>
      <c r="E26" s="57"/>
      <c r="F26" s="57"/>
      <c r="G26" s="58"/>
      <c r="H26" s="59"/>
      <c r="I26" s="81">
        <f t="shared" si="0"/>
        <v>0</v>
      </c>
      <c r="J26" s="60"/>
      <c r="K26" s="55">
        <f t="shared" si="1"/>
        <v>0</v>
      </c>
    </row>
    <row r="27" spans="1:11" s="56" customFormat="1" x14ac:dyDescent="0.2">
      <c r="A27" s="57"/>
      <c r="B27" s="57"/>
      <c r="C27" s="57"/>
      <c r="D27" s="57"/>
      <c r="E27" s="57"/>
      <c r="F27" s="57"/>
      <c r="G27" s="58"/>
      <c r="H27" s="59"/>
      <c r="I27" s="81">
        <f t="shared" si="0"/>
        <v>0</v>
      </c>
      <c r="J27" s="60"/>
      <c r="K27" s="55">
        <f t="shared" si="1"/>
        <v>0</v>
      </c>
    </row>
    <row r="28" spans="1:11" s="56" customFormat="1" x14ac:dyDescent="0.2">
      <c r="A28" s="62"/>
      <c r="B28" s="57"/>
      <c r="C28" s="57"/>
      <c r="D28" s="57"/>
      <c r="E28" s="57"/>
      <c r="F28" s="57"/>
      <c r="G28" s="58"/>
      <c r="H28" s="59"/>
      <c r="I28" s="81">
        <f t="shared" si="0"/>
        <v>0</v>
      </c>
      <c r="J28" s="60"/>
      <c r="K28" s="55">
        <f t="shared" si="1"/>
        <v>0</v>
      </c>
    </row>
    <row r="29" spans="1:11" s="56" customFormat="1" x14ac:dyDescent="0.2">
      <c r="A29" s="57"/>
      <c r="B29" s="57"/>
      <c r="C29" s="57"/>
      <c r="D29" s="57"/>
      <c r="E29" s="57"/>
      <c r="F29" s="57"/>
      <c r="G29" s="58"/>
      <c r="H29" s="59"/>
      <c r="I29" s="81">
        <f t="shared" si="0"/>
        <v>0</v>
      </c>
      <c r="J29" s="60"/>
      <c r="K29" s="55">
        <f t="shared" si="1"/>
        <v>0</v>
      </c>
    </row>
    <row r="30" spans="1:11" s="56" customFormat="1" x14ac:dyDescent="0.2">
      <c r="A30" s="57"/>
      <c r="B30" s="57"/>
      <c r="C30" s="57"/>
      <c r="D30" s="57"/>
      <c r="E30" s="57"/>
      <c r="F30" s="57"/>
      <c r="G30" s="58"/>
      <c r="H30" s="59"/>
      <c r="I30" s="81">
        <f t="shared" si="0"/>
        <v>0</v>
      </c>
      <c r="J30" s="60"/>
      <c r="K30" s="55">
        <f t="shared" si="1"/>
        <v>0</v>
      </c>
    </row>
    <row r="31" spans="1:11" s="56" customFormat="1" x14ac:dyDescent="0.2">
      <c r="A31" s="62"/>
      <c r="B31" s="57"/>
      <c r="C31" s="57"/>
      <c r="D31" s="57"/>
      <c r="E31" s="57"/>
      <c r="F31" s="57"/>
      <c r="G31" s="58"/>
      <c r="H31" s="59"/>
      <c r="I31" s="81">
        <f t="shared" si="0"/>
        <v>0</v>
      </c>
      <c r="J31" s="60"/>
      <c r="K31" s="55">
        <f t="shared" si="1"/>
        <v>0</v>
      </c>
    </row>
    <row r="32" spans="1:11" s="56" customFormat="1" x14ac:dyDescent="0.2">
      <c r="A32" s="57"/>
      <c r="B32" s="57"/>
      <c r="C32" s="57"/>
      <c r="D32" s="57"/>
      <c r="E32" s="57"/>
      <c r="F32" s="57"/>
      <c r="G32" s="58"/>
      <c r="H32" s="59"/>
      <c r="I32" s="81">
        <f t="shared" si="0"/>
        <v>0</v>
      </c>
      <c r="J32" s="60"/>
      <c r="K32" s="55">
        <f t="shared" si="1"/>
        <v>0</v>
      </c>
    </row>
    <row r="33" spans="1:11" s="56" customFormat="1" x14ac:dyDescent="0.2">
      <c r="A33" s="62"/>
      <c r="B33" s="57"/>
      <c r="C33" s="57"/>
      <c r="D33" s="57"/>
      <c r="E33" s="57"/>
      <c r="F33" s="57"/>
      <c r="G33" s="58"/>
      <c r="H33" s="59"/>
      <c r="I33" s="81">
        <f t="shared" si="0"/>
        <v>0</v>
      </c>
      <c r="J33" s="60"/>
      <c r="K33" s="55">
        <f t="shared" si="1"/>
        <v>0</v>
      </c>
    </row>
    <row r="34" spans="1:11" s="56" customFormat="1" x14ac:dyDescent="0.2">
      <c r="A34" s="62"/>
      <c r="B34" s="57"/>
      <c r="C34" s="57"/>
      <c r="D34" s="57"/>
      <c r="E34" s="57"/>
      <c r="F34" s="57"/>
      <c r="G34" s="58"/>
      <c r="H34" s="59"/>
      <c r="I34" s="81">
        <f t="shared" si="0"/>
        <v>0</v>
      </c>
      <c r="J34" s="60"/>
      <c r="K34" s="55">
        <f t="shared" si="1"/>
        <v>0</v>
      </c>
    </row>
    <row r="35" spans="1:11" s="56" customFormat="1" x14ac:dyDescent="0.2">
      <c r="A35" s="57"/>
      <c r="B35" s="57"/>
      <c r="C35" s="57"/>
      <c r="D35" s="57"/>
      <c r="E35" s="57"/>
      <c r="F35" s="57"/>
      <c r="G35" s="58"/>
      <c r="H35" s="59"/>
      <c r="I35" s="81">
        <f t="shared" si="0"/>
        <v>0</v>
      </c>
      <c r="J35" s="60"/>
      <c r="K35" s="55">
        <f t="shared" si="1"/>
        <v>0</v>
      </c>
    </row>
    <row r="36" spans="1:11" s="56" customFormat="1" x14ac:dyDescent="0.2">
      <c r="A36" s="57"/>
      <c r="B36" s="57"/>
      <c r="C36" s="57"/>
      <c r="D36" s="57"/>
      <c r="E36" s="57"/>
      <c r="F36" s="57"/>
      <c r="G36" s="58"/>
      <c r="H36" s="59"/>
      <c r="I36" s="81">
        <f t="shared" si="0"/>
        <v>0</v>
      </c>
      <c r="J36" s="60"/>
      <c r="K36" s="55">
        <f t="shared" si="1"/>
        <v>0</v>
      </c>
    </row>
    <row r="37" spans="1:11" s="56" customFormat="1" x14ac:dyDescent="0.2">
      <c r="A37" s="57"/>
      <c r="B37" s="57"/>
      <c r="C37" s="57"/>
      <c r="D37" s="57"/>
      <c r="E37" s="57"/>
      <c r="F37" s="57"/>
      <c r="G37" s="58"/>
      <c r="H37" s="59"/>
      <c r="I37" s="81">
        <f t="shared" si="0"/>
        <v>0</v>
      </c>
      <c r="J37" s="60"/>
      <c r="K37" s="55">
        <f t="shared" si="1"/>
        <v>0</v>
      </c>
    </row>
    <row r="38" spans="1:11" s="56" customFormat="1" x14ac:dyDescent="0.2">
      <c r="A38" s="57"/>
      <c r="B38" s="57"/>
      <c r="C38" s="57"/>
      <c r="D38" s="57"/>
      <c r="E38" s="57"/>
      <c r="F38" s="57"/>
      <c r="G38" s="58"/>
      <c r="H38" s="59"/>
      <c r="I38" s="81">
        <f t="shared" si="0"/>
        <v>0</v>
      </c>
      <c r="J38" s="60"/>
      <c r="K38" s="55">
        <f t="shared" si="1"/>
        <v>0</v>
      </c>
    </row>
    <row r="39" spans="1:11" s="56" customFormat="1" x14ac:dyDescent="0.2">
      <c r="A39" s="57"/>
      <c r="B39" s="57"/>
      <c r="C39" s="57"/>
      <c r="D39" s="57"/>
      <c r="E39" s="57"/>
      <c r="F39" s="57"/>
      <c r="G39" s="58"/>
      <c r="H39" s="59"/>
      <c r="I39" s="81">
        <f t="shared" si="0"/>
        <v>0</v>
      </c>
      <c r="J39" s="60"/>
      <c r="K39" s="55">
        <f t="shared" si="1"/>
        <v>0</v>
      </c>
    </row>
    <row r="40" spans="1:11" s="56" customFormat="1" x14ac:dyDescent="0.2">
      <c r="A40" s="57"/>
      <c r="B40" s="57"/>
      <c r="C40" s="57"/>
      <c r="D40" s="57"/>
      <c r="E40" s="57"/>
      <c r="F40" s="57"/>
      <c r="G40" s="58"/>
      <c r="H40" s="59"/>
      <c r="I40" s="81">
        <f t="shared" si="0"/>
        <v>0</v>
      </c>
      <c r="J40" s="60"/>
      <c r="K40" s="55">
        <f t="shared" si="1"/>
        <v>0</v>
      </c>
    </row>
    <row r="41" spans="1:11" s="56" customFormat="1" x14ac:dyDescent="0.2">
      <c r="A41" s="57"/>
      <c r="B41" s="57"/>
      <c r="C41" s="57"/>
      <c r="D41" s="57"/>
      <c r="E41" s="57"/>
      <c r="F41" s="57"/>
      <c r="G41" s="58"/>
      <c r="H41" s="59"/>
      <c r="I41" s="81">
        <f t="shared" si="0"/>
        <v>0</v>
      </c>
      <c r="J41" s="60"/>
      <c r="K41" s="55">
        <f t="shared" si="1"/>
        <v>0</v>
      </c>
    </row>
    <row r="42" spans="1:11" s="56" customFormat="1" x14ac:dyDescent="0.2">
      <c r="A42" s="57"/>
      <c r="B42" s="57"/>
      <c r="C42" s="57"/>
      <c r="D42" s="57"/>
      <c r="E42" s="57"/>
      <c r="F42" s="57"/>
      <c r="G42" s="58"/>
      <c r="H42" s="59"/>
      <c r="I42" s="81">
        <f t="shared" si="0"/>
        <v>0</v>
      </c>
      <c r="J42" s="60"/>
      <c r="K42" s="55">
        <f t="shared" si="1"/>
        <v>0</v>
      </c>
    </row>
    <row r="43" spans="1:11" s="56" customFormat="1" x14ac:dyDescent="0.2">
      <c r="A43" s="57"/>
      <c r="B43" s="57"/>
      <c r="C43" s="57"/>
      <c r="D43" s="57"/>
      <c r="E43" s="57"/>
      <c r="F43" s="57"/>
      <c r="G43" s="58"/>
      <c r="H43" s="59"/>
      <c r="I43" s="81">
        <f t="shared" si="0"/>
        <v>0</v>
      </c>
      <c r="J43" s="60"/>
      <c r="K43" s="55">
        <f t="shared" si="1"/>
        <v>0</v>
      </c>
    </row>
    <row r="44" spans="1:11" s="56" customFormat="1" x14ac:dyDescent="0.2">
      <c r="A44" s="57"/>
      <c r="B44" s="57"/>
      <c r="C44" s="57"/>
      <c r="D44" s="57"/>
      <c r="E44" s="57"/>
      <c r="F44" s="57"/>
      <c r="G44" s="58"/>
      <c r="H44" s="59"/>
      <c r="I44" s="81">
        <f t="shared" si="0"/>
        <v>0</v>
      </c>
      <c r="J44" s="60"/>
      <c r="K44" s="55">
        <f t="shared" si="1"/>
        <v>0</v>
      </c>
    </row>
    <row r="45" spans="1:11" s="56" customFormat="1" x14ac:dyDescent="0.2">
      <c r="A45" s="57"/>
      <c r="B45" s="57"/>
      <c r="C45" s="57"/>
      <c r="D45" s="57"/>
      <c r="E45" s="57"/>
      <c r="F45" s="57"/>
      <c r="G45" s="58"/>
      <c r="H45" s="59"/>
      <c r="I45" s="81">
        <f t="shared" si="0"/>
        <v>0</v>
      </c>
      <c r="J45" s="60"/>
      <c r="K45" s="55">
        <f t="shared" si="1"/>
        <v>0</v>
      </c>
    </row>
    <row r="46" spans="1:11" s="56" customFormat="1" x14ac:dyDescent="0.2">
      <c r="A46" s="57"/>
      <c r="B46" s="57"/>
      <c r="C46" s="57"/>
      <c r="D46" s="57"/>
      <c r="E46" s="57"/>
      <c r="F46" s="57"/>
      <c r="G46" s="58"/>
      <c r="H46" s="59"/>
      <c r="I46" s="81">
        <f t="shared" si="0"/>
        <v>0</v>
      </c>
      <c r="J46" s="60"/>
      <c r="K46" s="55">
        <f t="shared" si="1"/>
        <v>0</v>
      </c>
    </row>
    <row r="47" spans="1:11" s="56" customFormat="1" x14ac:dyDescent="0.2">
      <c r="A47" s="57"/>
      <c r="B47" s="57"/>
      <c r="C47" s="57"/>
      <c r="D47" s="57"/>
      <c r="E47" s="57"/>
      <c r="F47" s="57"/>
      <c r="G47" s="58"/>
      <c r="H47" s="59"/>
      <c r="I47" s="81">
        <f t="shared" si="0"/>
        <v>0</v>
      </c>
      <c r="J47" s="60"/>
      <c r="K47" s="55">
        <f t="shared" si="1"/>
        <v>0</v>
      </c>
    </row>
    <row r="48" spans="1:11" s="56" customFormat="1" x14ac:dyDescent="0.2">
      <c r="A48" s="51"/>
      <c r="B48" s="51"/>
      <c r="C48" s="51"/>
      <c r="D48" s="51"/>
      <c r="E48" s="51"/>
      <c r="F48" s="51"/>
      <c r="G48" s="58"/>
      <c r="H48" s="61"/>
      <c r="I48" s="81">
        <f>IF(G48*H48&lt;&gt;0,G48*H48,0)</f>
        <v>0</v>
      </c>
      <c r="J48" s="54"/>
      <c r="K48" s="55">
        <f t="shared" si="1"/>
        <v>0</v>
      </c>
    </row>
    <row r="49" spans="1:11" s="56" customFormat="1" x14ac:dyDescent="0.2">
      <c r="A49" s="63"/>
      <c r="B49" s="63"/>
      <c r="C49" s="63"/>
      <c r="D49" s="64" t="s">
        <v>27</v>
      </c>
      <c r="E49" s="64"/>
      <c r="F49" s="64"/>
      <c r="G49" s="65"/>
      <c r="H49" s="66"/>
      <c r="I49" s="66">
        <f>SUM(I11:I48)</f>
        <v>0</v>
      </c>
      <c r="J49" s="67"/>
      <c r="K49" s="68"/>
    </row>
    <row r="50" spans="1:11" s="63" customFormat="1" x14ac:dyDescent="0.2">
      <c r="A50" s="56"/>
      <c r="B50" s="56"/>
      <c r="C50" s="56"/>
      <c r="D50" s="69" t="s">
        <v>28</v>
      </c>
      <c r="E50" s="69"/>
      <c r="F50" s="69"/>
      <c r="G50" s="70"/>
      <c r="H50" s="71"/>
      <c r="I50" s="72">
        <f>IFERROR(-H50*I49,"")</f>
        <v>0</v>
      </c>
      <c r="J50" s="73"/>
      <c r="K50" s="74"/>
    </row>
    <row r="51" spans="1:11" s="61" customFormat="1" x14ac:dyDescent="0.2">
      <c r="A51" s="56"/>
      <c r="B51" s="56"/>
      <c r="C51" s="56"/>
      <c r="D51" s="47" t="s">
        <v>18</v>
      </c>
      <c r="E51" s="47"/>
      <c r="F51" s="47"/>
      <c r="G51" s="48"/>
      <c r="H51" s="75"/>
      <c r="I51" s="75">
        <f>SUM(I49:I50)</f>
        <v>0</v>
      </c>
      <c r="J51" s="29"/>
      <c r="K51" s="29">
        <f>SUM(K11:K48)</f>
        <v>0</v>
      </c>
    </row>
    <row r="54" spans="1:11" x14ac:dyDescent="0.2">
      <c r="A54" s="76" t="str">
        <f>"TERMS AND CONDITIONS FOR PO # " &amp; $E$3</f>
        <v xml:space="preserve">TERMS AND CONDITIONS FOR PO # </v>
      </c>
      <c r="H54" s="77"/>
    </row>
    <row r="55" spans="1:11" x14ac:dyDescent="0.2">
      <c r="A55" s="78" t="s">
        <v>29</v>
      </c>
    </row>
    <row r="58" spans="1:11" x14ac:dyDescent="0.2">
      <c r="A58" s="77" t="s">
        <v>30</v>
      </c>
    </row>
    <row r="60" spans="1:11" x14ac:dyDescent="0.2">
      <c r="A60" s="77" t="s">
        <v>31</v>
      </c>
    </row>
    <row r="61" spans="1:11" x14ac:dyDescent="0.2">
      <c r="A61" s="77"/>
    </row>
    <row r="62" spans="1:11" x14ac:dyDescent="0.2">
      <c r="A62" s="77" t="s">
        <v>32</v>
      </c>
      <c r="B62" s="79"/>
      <c r="C62" s="79"/>
    </row>
    <row r="63" spans="1:11" x14ac:dyDescent="0.2">
      <c r="A63" s="77"/>
    </row>
    <row r="64" spans="1:11" x14ac:dyDescent="0.2">
      <c r="A64" s="77" t="s">
        <v>33</v>
      </c>
      <c r="B64" s="80"/>
      <c r="C64" s="80"/>
    </row>
    <row r="65" spans="1:3" x14ac:dyDescent="0.2">
      <c r="A65" s="77" t="s">
        <v>34</v>
      </c>
      <c r="B65" s="80"/>
      <c r="C65" s="80"/>
    </row>
    <row r="66" spans="1:3" x14ac:dyDescent="0.2">
      <c r="A66" s="80"/>
      <c r="B66" s="80"/>
      <c r="C66" s="80"/>
    </row>
    <row r="67" spans="1:3" x14ac:dyDescent="0.2">
      <c r="A67" s="77" t="s">
        <v>35</v>
      </c>
      <c r="B67" s="80"/>
      <c r="C67" s="80"/>
    </row>
    <row r="68" spans="1:3" x14ac:dyDescent="0.2">
      <c r="A68" s="77" t="s">
        <v>36</v>
      </c>
      <c r="B68" s="80"/>
      <c r="C68" s="80"/>
    </row>
    <row r="69" spans="1:3" x14ac:dyDescent="0.2">
      <c r="A69" s="80"/>
      <c r="B69" s="80"/>
      <c r="C69" s="80"/>
    </row>
    <row r="70" spans="1:3" x14ac:dyDescent="0.2">
      <c r="A70" s="77" t="s">
        <v>61</v>
      </c>
      <c r="B70" s="79"/>
      <c r="C70" s="79"/>
    </row>
    <row r="71" spans="1:3" x14ac:dyDescent="0.2">
      <c r="A71" s="77" t="s">
        <v>62</v>
      </c>
      <c r="B71" s="79"/>
      <c r="C71" s="79"/>
    </row>
    <row r="72" spans="1:3" x14ac:dyDescent="0.2">
      <c r="A72" s="77" t="s">
        <v>37</v>
      </c>
      <c r="B72" s="79"/>
      <c r="C72" s="79"/>
    </row>
    <row r="73" spans="1:3" x14ac:dyDescent="0.2">
      <c r="A73" s="77"/>
      <c r="B73" s="79"/>
      <c r="C73" s="79"/>
    </row>
    <row r="74" spans="1:3" x14ac:dyDescent="0.2">
      <c r="A74" s="77" t="s">
        <v>38</v>
      </c>
      <c r="B74" s="79"/>
      <c r="C74" s="79"/>
    </row>
    <row r="75" spans="1:3" x14ac:dyDescent="0.2">
      <c r="A75" s="77"/>
      <c r="B75" s="79"/>
      <c r="C75" s="79"/>
    </row>
    <row r="76" spans="1:3" x14ac:dyDescent="0.2">
      <c r="A76" s="77" t="s">
        <v>39</v>
      </c>
      <c r="B76" s="79"/>
      <c r="C76" s="79"/>
    </row>
    <row r="77" spans="1:3" x14ac:dyDescent="0.2">
      <c r="A77" s="79"/>
      <c r="B77" s="79"/>
      <c r="C77" s="79"/>
    </row>
    <row r="78" spans="1:3" x14ac:dyDescent="0.2">
      <c r="A78" s="77" t="s">
        <v>40</v>
      </c>
      <c r="B78" s="79"/>
      <c r="C78" s="79"/>
    </row>
    <row r="79" spans="1:3" x14ac:dyDescent="0.2">
      <c r="A79" s="77" t="s">
        <v>41</v>
      </c>
      <c r="B79" s="79"/>
      <c r="C79" s="79"/>
    </row>
    <row r="80" spans="1:3" x14ac:dyDescent="0.2">
      <c r="B80" s="79"/>
      <c r="C80" s="79"/>
    </row>
    <row r="81" spans="1:3" x14ac:dyDescent="0.2">
      <c r="A81" s="77" t="s">
        <v>42</v>
      </c>
      <c r="B81" s="79"/>
      <c r="C81" s="79"/>
    </row>
    <row r="82" spans="1:3" x14ac:dyDescent="0.2">
      <c r="A82" s="77" t="s">
        <v>43</v>
      </c>
      <c r="B82" s="79"/>
      <c r="C82" s="79"/>
    </row>
    <row r="83" spans="1:3" x14ac:dyDescent="0.2">
      <c r="A83" s="77" t="s">
        <v>63</v>
      </c>
      <c r="B83" s="79"/>
      <c r="C83" s="79"/>
    </row>
  </sheetData>
  <sheetProtection selectLockedCells="1"/>
  <mergeCells count="1">
    <mergeCell ref="A1:I1"/>
  </mergeCells>
  <conditionalFormatting sqref="E3">
    <cfRule type="expression" dxfId="3" priority="4">
      <formula>E3=""</formula>
    </cfRule>
  </conditionalFormatting>
  <conditionalFormatting sqref="E4:E5">
    <cfRule type="expression" dxfId="2" priority="3">
      <formula>E4=""</formula>
    </cfRule>
  </conditionalFormatting>
  <conditionalFormatting sqref="I3">
    <cfRule type="expression" dxfId="1" priority="2">
      <formula>I3=""</formula>
    </cfRule>
  </conditionalFormatting>
  <conditionalFormatting sqref="E6">
    <cfRule type="expression" dxfId="0" priority="1">
      <formula>AND(E6="",D6&lt;&gt;"")</formula>
    </cfRule>
  </conditionalFormatting>
  <printOptions horizontalCentered="1"/>
  <pageMargins left="0.2" right="0.2" top="1.25" bottom="0.25" header="0.3" footer="0.3"/>
  <pageSetup scale="84" orientation="portrait" r:id="rId1"/>
  <headerFooter>
    <oddHeader>&amp;C&amp;"Arial,Bold"&amp;12
&amp;14EXPORT HOME FURNISHINGS, INC.&amp;"Arial,Regular"&amp;12
3635 PEACHTREE INDUSTRIAL BLVD SUITE  700 
TEL: (678) 646 0476 - FAX: (678) 646 0482&amp;R&amp;"Arial,Regular"&amp;10PAGE &amp;P OF &amp;N</oddHeader>
  </headerFooter>
  <rowBreaks count="1" manualBreakCount="1">
    <brk id="52" max="8" man="1"/>
  </rowBreaks>
  <colBreaks count="1" manualBreakCount="1">
    <brk id="9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E5:F8"/>
  <sheetViews>
    <sheetView zoomScale="85" zoomScaleNormal="85" workbookViewId="0">
      <selection activeCell="A13" sqref="A13"/>
    </sheetView>
  </sheetViews>
  <sheetFormatPr baseColWidth="10" defaultColWidth="10.83203125" defaultRowHeight="16" x14ac:dyDescent="0.2"/>
  <cols>
    <col min="1" max="16384" width="10.83203125" style="2"/>
  </cols>
  <sheetData>
    <row r="5" spans="5:6" x14ac:dyDescent="0.2">
      <c r="E5" s="1"/>
      <c r="F5" s="2" t="str">
        <f>IF(PO!E3&lt;&gt;0,PO!E3,"")</f>
        <v/>
      </c>
    </row>
    <row r="6" spans="5:6" x14ac:dyDescent="0.2">
      <c r="E6" s="1"/>
    </row>
    <row r="7" spans="5:6" x14ac:dyDescent="0.2">
      <c r="E7" s="1"/>
    </row>
    <row r="8" spans="5:6" x14ac:dyDescent="0.2">
      <c r="E8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3:D15"/>
  <sheetViews>
    <sheetView showGridLines="0" workbookViewId="0">
      <selection activeCell="C4" sqref="C4"/>
    </sheetView>
  </sheetViews>
  <sheetFormatPr baseColWidth="10" defaultColWidth="11" defaultRowHeight="16" x14ac:dyDescent="0.2"/>
  <sheetData>
    <row r="3" spans="3:4" x14ac:dyDescent="0.2">
      <c r="C3" t="s">
        <v>44</v>
      </c>
    </row>
    <row r="4" spans="3:4" x14ac:dyDescent="0.2">
      <c r="C4" t="s">
        <v>45</v>
      </c>
    </row>
    <row r="5" spans="3:4" x14ac:dyDescent="0.2">
      <c r="C5" t="s">
        <v>46</v>
      </c>
    </row>
    <row r="6" spans="3:4" x14ac:dyDescent="0.2">
      <c r="C6" t="s">
        <v>54</v>
      </c>
    </row>
    <row r="8" spans="3:4" x14ac:dyDescent="0.2">
      <c r="C8" t="s">
        <v>47</v>
      </c>
      <c r="D8" t="s">
        <v>55</v>
      </c>
    </row>
    <row r="9" spans="3:4" x14ac:dyDescent="0.2">
      <c r="C9" t="s">
        <v>48</v>
      </c>
    </row>
    <row r="10" spans="3:4" x14ac:dyDescent="0.2">
      <c r="C10" t="s">
        <v>49</v>
      </c>
      <c r="D10" t="s">
        <v>59</v>
      </c>
    </row>
    <row r="11" spans="3:4" x14ac:dyDescent="0.2">
      <c r="C11" t="s">
        <v>50</v>
      </c>
    </row>
    <row r="12" spans="3:4" x14ac:dyDescent="0.2">
      <c r="C12" t="s">
        <v>51</v>
      </c>
      <c r="D12" t="s">
        <v>56</v>
      </c>
    </row>
    <row r="13" spans="3:4" x14ac:dyDescent="0.2">
      <c r="C13" t="s">
        <v>52</v>
      </c>
    </row>
    <row r="14" spans="3:4" x14ac:dyDescent="0.2">
      <c r="C14" t="s">
        <v>53</v>
      </c>
      <c r="D14" t="s">
        <v>57</v>
      </c>
    </row>
    <row r="15" spans="3:4" x14ac:dyDescent="0.2">
      <c r="C15" t="s">
        <v>58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PI</vt:lpstr>
      <vt:lpstr>PO</vt:lpstr>
      <vt:lpstr>CI-PL</vt:lpstr>
      <vt:lpstr>cAfterTotal</vt:lpstr>
      <vt:lpstr>PI!Print_Area</vt:lpstr>
      <vt:lpstr>PO!Print_Area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J Nercessian</dc:creator>
  <cp:lastModifiedBy>Patrick J Nercessian</cp:lastModifiedBy>
  <cp:lastPrinted>2018-05-23T16:34:05Z</cp:lastPrinted>
  <dcterms:created xsi:type="dcterms:W3CDTF">2018-04-01T22:29:07Z</dcterms:created>
  <dcterms:modified xsi:type="dcterms:W3CDTF">2018-05-24T21:18:55Z</dcterms:modified>
</cp:coreProperties>
</file>