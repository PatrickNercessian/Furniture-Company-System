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ck\Desktop\EHF GitHub\ADMIN\OTHER\maven\src\main\resources\file\"/>
    </mc:Choice>
  </mc:AlternateContent>
  <xr:revisionPtr revIDLastSave="0" documentId="13_ncr:1_{B520507A-DE8D-414F-A225-ED82D7175792}" xr6:coauthVersionLast="40" xr6:coauthVersionMax="40" xr10:uidLastSave="{00000000-0000-0000-0000-000000000000}"/>
  <bookViews>
    <workbookView xWindow="0" yWindow="450" windowWidth="25470" windowHeight="15630" activeTab="3" xr2:uid="{00000000-000D-0000-FFFF-FFFF00000000}"/>
  </bookViews>
  <sheets>
    <sheet name="PI" sheetId="1" r:id="rId1"/>
    <sheet name="PO" sheetId="2" r:id="rId2"/>
    <sheet name="CALC SHEET" sheetId="6" r:id="rId3"/>
    <sheet name="CO" sheetId="7" r:id="rId4"/>
    <sheet name="EMAIL TEMPLATE" sheetId="5" state="veryHidden" r:id="rId5"/>
  </sheets>
  <functionGroups builtInGroupCount="19"/>
  <externalReferences>
    <externalReference r:id="rId6"/>
  </externalReferences>
  <definedNames>
    <definedName name="AMOUNT">'[1]PI-CI-PL'!$E$24:$E$500</definedName>
    <definedName name="cAfterTotal">PO!$I$52</definedName>
    <definedName name="container">PI!$B$10</definedName>
    <definedName name="COUNTRYOFORIGIN">'[1]PI-CI-PL'!$L$24:$L$500</definedName>
    <definedName name="customerPO">PI!$B$6</definedName>
    <definedName name="DeliveryTerms">PI!$B$8</definedName>
    <definedName name="Discount">'[1]PI-CI-PL'!$P$2</definedName>
    <definedName name="Factory">PI!$B$7</definedName>
    <definedName name="HSCODES">'[1]PI-CI-PL'!$M$24:$M$500</definedName>
    <definedName name="LBS">'[1]PI-CI-PL'!$F$24:$F$500</definedName>
    <definedName name="PaymentTerms">PI!$B$9</definedName>
    <definedName name="_xlnm.Print_Area" localSheetId="2">'CALC SHEET'!$A$1:$K$43</definedName>
    <definedName name="_xlnm.Print_Area" localSheetId="3">CO!$A$1:$D$27</definedName>
    <definedName name="_xlnm.Print_Area" localSheetId="0">PI!$A$1:$J$41</definedName>
    <definedName name="_xlnm.Print_Area" localSheetId="1">PO!$A$1:$I$82</definedName>
    <definedName name="_xlnm.Print_Titles" localSheetId="0">PI!$14:$14</definedName>
    <definedName name="_xlnm.Print_Titles" localSheetId="1">PO!$10:$10</definedName>
    <definedName name="QTY">'[1]PI-CI-PL'!$C$24:$C$500</definedName>
    <definedName name="SCWITHDATE">PI!$B$5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6" l="1"/>
  <c r="E5" i="2" l="1"/>
  <c r="K12" i="2" l="1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11" i="2"/>
  <c r="I12" i="2" l="1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11" i="2"/>
  <c r="I49" i="2" l="1"/>
  <c r="I50" i="2" s="1"/>
  <c r="A54" i="2"/>
  <c r="I51" i="2" l="1"/>
  <c r="K51" i="2"/>
</calcChain>
</file>

<file path=xl/sharedStrings.xml><?xml version="1.0" encoding="utf-8"?>
<sst xmlns="http://schemas.openxmlformats.org/spreadsheetml/2006/main" count="165" uniqueCount="128">
  <si>
    <t>SALES CONTRACT</t>
  </si>
  <si>
    <t>CONSIGNEE:</t>
  </si>
  <si>
    <t>NOTIFY:</t>
  </si>
  <si>
    <t>DATE:</t>
  </si>
  <si>
    <t>SALES CONTRACT:</t>
  </si>
  <si>
    <t>TAG OR PO#:</t>
  </si>
  <si>
    <t>FACTORY:</t>
  </si>
  <si>
    <t>DELIVERY TERMS:</t>
  </si>
  <si>
    <t>PAYMENT TERMS:</t>
  </si>
  <si>
    <t>CONTAINER:</t>
  </si>
  <si>
    <t>READY DATE:</t>
  </si>
  <si>
    <t>NOTES:</t>
  </si>
  <si>
    <t>MODEL</t>
  </si>
  <si>
    <t>DESCRIPTION</t>
  </si>
  <si>
    <t>FABRIC/COLOR</t>
  </si>
  <si>
    <t>QTY</t>
  </si>
  <si>
    <t>PRICE</t>
  </si>
  <si>
    <t>AMOUNT</t>
  </si>
  <si>
    <t>TOTAL:</t>
  </si>
  <si>
    <t>VENDOR:</t>
  </si>
  <si>
    <t>PO#:</t>
  </si>
  <si>
    <t>DELIVERY:</t>
  </si>
  <si>
    <t xml:space="preserve">PRICE  </t>
  </si>
  <si>
    <t xml:space="preserve">TOTAL </t>
  </si>
  <si>
    <t>UNITS</t>
  </si>
  <si>
    <t>TOTAL</t>
  </si>
  <si>
    <t>SUBTOTAL:</t>
  </si>
  <si>
    <t>DISCOUNT:</t>
  </si>
  <si>
    <t>TO:</t>
  </si>
  <si>
    <t>CC:</t>
  </si>
  <si>
    <t>BCC:</t>
  </si>
  <si>
    <t>LINE 1</t>
  </si>
  <si>
    <t>LINE 2</t>
  </si>
  <si>
    <t>LINE 3</t>
  </si>
  <si>
    <t>LINE 4</t>
  </si>
  <si>
    <t>LINE 5</t>
  </si>
  <si>
    <t>LINE 6</t>
  </si>
  <si>
    <t>LINE 7</t>
  </si>
  <si>
    <t>Subject:</t>
  </si>
  <si>
    <t>Dear ______,</t>
  </si>
  <si>
    <t>Could you please review and send us an order acknowledgement with ready date at your earliest convenience.</t>
  </si>
  <si>
    <t>Much appreciated,</t>
  </si>
  <si>
    <t>LINE 8</t>
  </si>
  <si>
    <t>Please find attached our purchase order and proceed accordingly.</t>
  </si>
  <si>
    <t>PURCHASE ORDER</t>
  </si>
  <si>
    <t>REMARKS:</t>
  </si>
  <si>
    <t>%</t>
  </si>
  <si>
    <t>$</t>
  </si>
  <si>
    <t>NET PROFIT:</t>
  </si>
  <si>
    <t>TOTAL CHARGES:</t>
  </si>
  <si>
    <t>DT. PAID:</t>
  </si>
  <si>
    <t>OTHER CHARGES:</t>
  </si>
  <si>
    <t>CREDIT MEMO:</t>
  </si>
  <si>
    <t>BANK CHARGES:</t>
  </si>
  <si>
    <t>FREIGHT:</t>
  </si>
  <si>
    <t>FACTORY INVOICE:</t>
  </si>
  <si>
    <t xml:space="preserve">LESS: </t>
  </si>
  <si>
    <t>TOTAL OUTGOING INVOICE:</t>
  </si>
  <si>
    <t>DT. RCVD:</t>
  </si>
  <si>
    <t>4) ADVANCE</t>
  </si>
  <si>
    <t>3) CASH VALUE</t>
  </si>
  <si>
    <t xml:space="preserve">2) DEBIT NOTE             </t>
  </si>
  <si>
    <t xml:space="preserve">1) LC/CAD VALUE         </t>
  </si>
  <si>
    <t>OUTGOING INVOICE:</t>
  </si>
  <si>
    <t xml:space="preserve">CNTR SIZE: </t>
  </si>
  <si>
    <t>ETA</t>
  </si>
  <si>
    <t>PORT OF DEST:</t>
  </si>
  <si>
    <t>ETD</t>
  </si>
  <si>
    <t>PMT TERMS:</t>
  </si>
  <si>
    <t>CL REF#:</t>
  </si>
  <si>
    <t>U.S. FACTORY:</t>
  </si>
  <si>
    <t>CUSTOMER:</t>
  </si>
  <si>
    <t>DATE</t>
  </si>
  <si>
    <t>PO#</t>
  </si>
  <si>
    <t>S/C #</t>
  </si>
  <si>
    <t>PRE/FINAL CALCULATION SHEET</t>
  </si>
  <si>
    <t>SHIP TERMS:</t>
  </si>
  <si>
    <t>REP/COUNTRY:</t>
  </si>
  <si>
    <t>VESSEL:</t>
  </si>
  <si>
    <t>LOAD DT:</t>
  </si>
  <si>
    <t>ORDER CONFIRM:</t>
  </si>
  <si>
    <t>MODEL:</t>
  </si>
  <si>
    <t>PORT OF DISCHARGE:</t>
  </si>
  <si>
    <t>TOTAL CTN:</t>
  </si>
  <si>
    <t>TOTAL WEIGHT:</t>
  </si>
  <si>
    <t>CONTAINER SIZE:</t>
  </si>
  <si>
    <t>SEAL #:</t>
  </si>
  <si>
    <t>CONTAINER #:</t>
  </si>
  <si>
    <t>INVOICE NUMBER:</t>
  </si>
  <si>
    <t>MARKS AND NUMBERS:</t>
  </si>
  <si>
    <t>COUNTRY OF DESTINATION:</t>
  </si>
  <si>
    <t>GOODS MADE IN:</t>
  </si>
  <si>
    <t>NOTIFY PARTY:</t>
  </si>
  <si>
    <t>EXPORT HOME FURNISHINGS, INC.</t>
  </si>
  <si>
    <t>EXPORTER:</t>
  </si>
  <si>
    <t>CERTIFICATE OF ORIGIN</t>
  </si>
  <si>
    <t>IF YOU CAN'T COMPLY WITH ANY OF THE BELOW PLEASE LET US KNOW IMMEDIATELY.</t>
  </si>
  <si>
    <t>1)</t>
  </si>
  <si>
    <t>THIS PURCHASE ORDER IS VALID FOR 90 DAYS AFTER BEING ISSUED.</t>
  </si>
  <si>
    <t>2)</t>
  </si>
  <si>
    <t>OUR WRITTEN APPROVAL. OUR CUSTOMER WILL ONLY PAY FOR COMPLETE SETS.</t>
  </si>
  <si>
    <t>PLEASE REVIEW THE "TERMS AND CONDITIONS" BELOW FOR IMPORTANT INFORMATION REGARDING THIS PURCHASE ORDER.</t>
  </si>
  <si>
    <t>3)</t>
  </si>
  <si>
    <t>ALL PACKAGES AND FURNITURE PIECES SHOULD HAVE THE COUNTRY OF ORIGIN CLEARLY LABELLED ("LAW LABEL").</t>
  </si>
  <si>
    <t>PLEASE USE STRONG SEA WORTHY PACKING IN ORDER TO PREVENT DAMAGES.</t>
  </si>
  <si>
    <t>LOAD IN COMPLETE SETS ONLY - NO CHANGES TO BE MADE TO QUANTITIES, MODELS , DESCRIPTION OR PRICING W/O</t>
  </si>
  <si>
    <t>5)</t>
  </si>
  <si>
    <t>4)</t>
  </si>
  <si>
    <t>ONCE WE MAKE A BOOKING NO CHANGES ARE TO BE MADE DIRECTLY WITH THE FORWARDER, TRUCKER OR</t>
  </si>
  <si>
    <t>SS LINE WITHOUT OUR APPROVAL.</t>
  </si>
  <si>
    <t>6)</t>
  </si>
  <si>
    <t>IF THE TRUCKER DOES NOT SHOW UP ON LOADING DATE/TIME PLEASE CONTACT EHF (AUDREY@EHFURNISHINGS.COM)</t>
  </si>
  <si>
    <t>IMMEDIATELY TO ADVISE US OF THE NO SHOW.</t>
  </si>
  <si>
    <t xml:space="preserve">7) </t>
  </si>
  <si>
    <t>TRUCKERS WILL ONLY ALLOW 2-HOURS FREE TIME FOR LOADING - DETENTION WILL INCUR AFTER THAT AND WILL BE</t>
  </si>
  <si>
    <t>CHARGED.</t>
  </si>
  <si>
    <t xml:space="preserve">8) </t>
  </si>
  <si>
    <t>UPON LOADING, PLEASE SEND US A COPY OF THE PACKING LIST, INVOICE, VGM FORM, CONTAINER NUMBER,</t>
  </si>
  <si>
    <t>SEAL NUMBER, TOTAL PIECE COUNT, TOTAL GROSS WEIGHT AND INCLUDE THE BOOKING NUMBER ON ALL DOCUMENTS.</t>
  </si>
  <si>
    <t>9)</t>
  </si>
  <si>
    <t>10)</t>
  </si>
  <si>
    <r>
      <t xml:space="preserve">DO NOT PUT ANY DOCUMENTS </t>
    </r>
    <r>
      <rPr>
        <b/>
        <u/>
        <sz val="12"/>
        <color rgb="FFFF0000"/>
        <rFont val="Calibri"/>
        <family val="2"/>
        <scheme val="minor"/>
      </rPr>
      <t>WITH PRICING</t>
    </r>
    <r>
      <rPr>
        <sz val="12"/>
        <color rgb="FFFF0000"/>
        <rFont val="Calibri"/>
        <family val="2"/>
        <scheme val="minor"/>
      </rPr>
      <t xml:space="preserve"> IN THE CONTAINER.</t>
    </r>
  </si>
  <si>
    <r>
      <t xml:space="preserve">DO NOT GIVE THE TRUCKER ANY DOCUMENTS </t>
    </r>
    <r>
      <rPr>
        <b/>
        <u/>
        <sz val="12"/>
        <color rgb="FFFF0000"/>
        <rFont val="Calibri"/>
        <family val="2"/>
        <scheme val="minor"/>
      </rPr>
      <t>WITH PRICING</t>
    </r>
    <r>
      <rPr>
        <sz val="12"/>
        <color rgb="FFFF0000"/>
        <rFont val="Calibri"/>
        <family val="2"/>
        <scheme val="minor"/>
      </rPr>
      <t xml:space="preserve"> .</t>
    </r>
  </si>
  <si>
    <t>FORWARDER FEE:</t>
  </si>
  <si>
    <t>INSURANCE COST:</t>
  </si>
  <si>
    <t>COMMISSION:</t>
  </si>
  <si>
    <t xml:space="preserve"> </t>
  </si>
  <si>
    <t>FAKE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</si>
</sst>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&quot;$&quot;#,##0.00"/>
    <numFmt numFmtId="166" formatCode="0\ &quot;lbs&quot;"/>
    <numFmt numFmtId="167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</cellStyleXfs>
  <cellXfs count="12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164" fontId="5" fillId="0" borderId="0" xfId="1" applyNumberFormat="1" applyFont="1" applyFill="1" applyBorder="1" applyAlignment="1" applyProtection="1">
      <alignment horizontal="left" vertical="center"/>
    </xf>
    <xf numFmtId="0" fontId="5" fillId="0" borderId="0" xfId="1" applyFont="1" applyFill="1" applyAlignment="1" applyProtection="1">
      <alignment horizontal="left" vertical="center"/>
    </xf>
    <xf numFmtId="0" fontId="5" fillId="0" borderId="0" xfId="1" applyFont="1" applyFill="1" applyBorder="1" applyAlignment="1" applyProtection="1">
      <alignment horizontal="left" vertical="center"/>
    </xf>
    <xf numFmtId="0" fontId="5" fillId="2" borderId="1" xfId="1" applyFont="1" applyFill="1" applyBorder="1" applyAlignment="1" applyProtection="1">
      <alignment horizontal="left" vertical="center"/>
    </xf>
    <xf numFmtId="0" fontId="6" fillId="2" borderId="1" xfId="1" applyFont="1" applyFill="1" applyBorder="1" applyAlignment="1" applyProtection="1">
      <alignment horizontal="left" vertical="center"/>
    </xf>
    <xf numFmtId="0" fontId="5" fillId="2" borderId="1" xfId="1" applyFont="1" applyFill="1" applyBorder="1" applyAlignment="1" applyProtection="1">
      <alignment horizontal="right" vertical="center"/>
    </xf>
    <xf numFmtId="0" fontId="6" fillId="2" borderId="1" xfId="1" applyFont="1" applyFill="1" applyBorder="1" applyAlignment="1" applyProtection="1">
      <alignment horizontal="center" vertical="center"/>
    </xf>
    <xf numFmtId="0" fontId="5" fillId="2" borderId="1" xfId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4" fontId="5" fillId="2" borderId="1" xfId="1" applyNumberFormat="1" applyFont="1" applyFill="1" applyBorder="1" applyAlignment="1" applyProtection="1">
      <alignment vertical="center" wrapText="1"/>
    </xf>
    <xf numFmtId="4" fontId="5" fillId="2" borderId="1" xfId="1" applyNumberFormat="1" applyFont="1" applyFill="1" applyBorder="1" applyAlignment="1" applyProtection="1">
      <alignment horizontal="center" vertical="center" wrapText="1"/>
    </xf>
    <xf numFmtId="165" fontId="5" fillId="2" borderId="1" xfId="1" applyNumberFormat="1" applyFont="1" applyFill="1" applyBorder="1" applyAlignment="1" applyProtection="1">
      <alignment horizontal="right" vertical="center" wrapText="1"/>
    </xf>
    <xf numFmtId="0" fontId="4" fillId="0" borderId="0" xfId="0" applyFont="1" applyAlignment="1">
      <alignment horizontal="center"/>
    </xf>
    <xf numFmtId="0" fontId="8" fillId="0" borderId="0" xfId="1" applyFont="1" applyFill="1" applyBorder="1" applyAlignment="1" applyProtection="1">
      <alignment horizontal="left" vertical="center"/>
    </xf>
    <xf numFmtId="165" fontId="4" fillId="0" borderId="0" xfId="0" applyNumberFormat="1" applyFont="1"/>
    <xf numFmtId="165" fontId="4" fillId="0" borderId="0" xfId="0" applyNumberFormat="1" applyFont="1" applyAlignment="1">
      <alignment vertical="center"/>
    </xf>
    <xf numFmtId="165" fontId="5" fillId="0" borderId="0" xfId="1" applyNumberFormat="1" applyFont="1" applyFill="1" applyAlignment="1" applyProtection="1">
      <alignment horizontal="right" vertical="center"/>
    </xf>
    <xf numFmtId="165" fontId="5" fillId="2" borderId="1" xfId="1" applyNumberFormat="1" applyFont="1" applyFill="1" applyBorder="1" applyAlignment="1" applyProtection="1">
      <alignment horizontal="right" vertical="center"/>
    </xf>
    <xf numFmtId="165" fontId="4" fillId="0" borderId="0" xfId="0" applyNumberFormat="1" applyFont="1" applyAlignment="1">
      <alignment horizontal="right" vertical="center"/>
    </xf>
    <xf numFmtId="165" fontId="4" fillId="0" borderId="0" xfId="0" applyNumberFormat="1" applyFont="1" applyAlignment="1">
      <alignment horizontal="right"/>
    </xf>
    <xf numFmtId="2" fontId="4" fillId="0" borderId="0" xfId="0" applyNumberFormat="1" applyFont="1" applyAlignment="1">
      <alignment horizontal="right" vertical="center"/>
    </xf>
    <xf numFmtId="2" fontId="7" fillId="0" borderId="0" xfId="0" applyNumberFormat="1" applyFont="1" applyAlignment="1">
      <alignment horizontal="right" vertical="center" wrapText="1"/>
    </xf>
    <xf numFmtId="2" fontId="7" fillId="0" borderId="0" xfId="0" applyNumberFormat="1" applyFont="1" applyAlignment="1">
      <alignment horizontal="right" vertical="center"/>
    </xf>
    <xf numFmtId="2" fontId="7" fillId="2" borderId="1" xfId="2" applyNumberFormat="1" applyFont="1" applyFill="1" applyBorder="1" applyAlignment="1" applyProtection="1">
      <alignment horizontal="right" vertical="center"/>
      <protection locked="0"/>
    </xf>
    <xf numFmtId="0" fontId="7" fillId="0" borderId="0" xfId="2" applyFont="1" applyAlignment="1" applyProtection="1">
      <alignment vertical="center"/>
      <protection locked="0"/>
    </xf>
    <xf numFmtId="0" fontId="7" fillId="0" borderId="0" xfId="2" applyFont="1" applyProtection="1">
      <protection locked="0"/>
    </xf>
    <xf numFmtId="0" fontId="4" fillId="0" borderId="0" xfId="2" applyFont="1" applyProtection="1">
      <protection locked="0"/>
    </xf>
    <xf numFmtId="0" fontId="4" fillId="0" borderId="0" xfId="2" applyFont="1" applyAlignment="1" applyProtection="1">
      <alignment horizontal="center"/>
      <protection locked="0"/>
    </xf>
    <xf numFmtId="164" fontId="4" fillId="0" borderId="0" xfId="2" applyNumberFormat="1" applyFont="1" applyProtection="1">
      <protection locked="0"/>
    </xf>
    <xf numFmtId="2" fontId="4" fillId="0" borderId="0" xfId="2" applyNumberFormat="1" applyFont="1" applyAlignment="1" applyProtection="1">
      <alignment horizontal="right"/>
      <protection locked="0"/>
    </xf>
    <xf numFmtId="0" fontId="7" fillId="0" borderId="0" xfId="2" applyFont="1" applyProtection="1"/>
    <xf numFmtId="0" fontId="7" fillId="0" borderId="0" xfId="2" applyFont="1" applyFill="1" applyProtection="1"/>
    <xf numFmtId="0" fontId="4" fillId="0" borderId="0" xfId="2" applyFont="1" applyFill="1" applyAlignment="1" applyProtection="1">
      <alignment horizontal="left"/>
      <protection locked="0"/>
    </xf>
    <xf numFmtId="0" fontId="4" fillId="0" borderId="0" xfId="2" applyFont="1" applyFill="1" applyProtection="1">
      <protection locked="0"/>
    </xf>
    <xf numFmtId="0" fontId="4" fillId="0" borderId="0" xfId="2" applyFont="1" applyFill="1" applyAlignment="1" applyProtection="1">
      <protection locked="0"/>
    </xf>
    <xf numFmtId="0" fontId="9" fillId="0" borderId="0" xfId="2" applyFont="1" applyBorder="1" applyAlignment="1" applyProtection="1"/>
    <xf numFmtId="0" fontId="4" fillId="0" borderId="0" xfId="2" applyFont="1" applyProtection="1"/>
    <xf numFmtId="0" fontId="4" fillId="0" borderId="0" xfId="2" applyFont="1" applyBorder="1" applyAlignment="1" applyProtection="1">
      <alignment wrapText="1"/>
    </xf>
    <xf numFmtId="2" fontId="4" fillId="0" borderId="0" xfId="2" applyNumberFormat="1" applyFont="1" applyAlignment="1" applyProtection="1">
      <alignment horizontal="right"/>
    </xf>
    <xf numFmtId="0" fontId="7" fillId="2" borderId="1" xfId="2" applyFont="1" applyFill="1" applyBorder="1" applyAlignment="1" applyProtection="1">
      <alignment horizontal="left" vertical="center"/>
      <protection locked="0"/>
    </xf>
    <xf numFmtId="0" fontId="7" fillId="2" borderId="1" xfId="2" applyFont="1" applyFill="1" applyBorder="1" applyAlignment="1" applyProtection="1">
      <alignment vertical="center"/>
      <protection locked="0"/>
    </xf>
    <xf numFmtId="0" fontId="7" fillId="2" borderId="1" xfId="2" applyFont="1" applyFill="1" applyBorder="1" applyAlignment="1" applyProtection="1">
      <alignment horizontal="center" vertical="center"/>
      <protection locked="0"/>
    </xf>
    <xf numFmtId="0" fontId="7" fillId="2" borderId="1" xfId="2" applyFont="1" applyFill="1" applyBorder="1" applyAlignment="1" applyProtection="1">
      <alignment horizontal="right" vertical="center" wrapText="1"/>
      <protection locked="0"/>
    </xf>
    <xf numFmtId="0" fontId="7" fillId="2" borderId="1" xfId="2" applyFont="1" applyFill="1" applyBorder="1" applyAlignment="1" applyProtection="1">
      <alignment horizontal="right" vertical="center"/>
      <protection locked="0"/>
    </xf>
    <xf numFmtId="0" fontId="4" fillId="0" borderId="0" xfId="2" applyNumberFormat="1" applyFont="1" applyAlignment="1" applyProtection="1">
      <alignment horizontal="left" vertical="center"/>
    </xf>
    <xf numFmtId="0" fontId="4" fillId="0" borderId="0" xfId="2" applyFont="1" applyAlignment="1" applyProtection="1">
      <alignment horizontal="center" vertical="center"/>
    </xf>
    <xf numFmtId="2" fontId="4" fillId="0" borderId="0" xfId="2" applyNumberFormat="1" applyFont="1" applyAlignment="1" applyProtection="1">
      <alignment horizontal="right" vertical="center"/>
    </xf>
    <xf numFmtId="0" fontId="4" fillId="0" borderId="0" xfId="2" applyFont="1" applyAlignment="1" applyProtection="1">
      <alignment vertical="center"/>
      <protection locked="0"/>
    </xf>
    <xf numFmtId="0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2" fontId="4" fillId="0" borderId="0" xfId="2" applyNumberFormat="1" applyFont="1" applyAlignment="1" applyProtection="1">
      <alignment horizontal="right" vertical="center"/>
      <protection locked="0"/>
    </xf>
    <xf numFmtId="0" fontId="4" fillId="0" borderId="0" xfId="2" applyFont="1" applyAlignment="1" applyProtection="1">
      <alignment vertical="center"/>
    </xf>
    <xf numFmtId="0" fontId="7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Border="1" applyAlignment="1" applyProtection="1">
      <alignment vertical="center"/>
      <protection locked="0"/>
    </xf>
    <xf numFmtId="0" fontId="4" fillId="0" borderId="2" xfId="2" applyFont="1" applyBorder="1" applyAlignment="1" applyProtection="1">
      <alignment vertical="center"/>
      <protection locked="0"/>
    </xf>
    <xf numFmtId="0" fontId="4" fillId="0" borderId="2" xfId="2" applyFont="1" applyBorder="1" applyAlignment="1" applyProtection="1">
      <alignment horizontal="center" vertical="center"/>
      <protection locked="0"/>
    </xf>
    <xf numFmtId="2" fontId="4" fillId="0" borderId="2" xfId="2" applyNumberFormat="1" applyFont="1" applyBorder="1" applyAlignment="1" applyProtection="1">
      <alignment horizontal="right" vertical="center"/>
      <protection locked="0"/>
    </xf>
    <xf numFmtId="2" fontId="7" fillId="0" borderId="2" xfId="2" applyNumberFormat="1" applyFont="1" applyBorder="1" applyAlignment="1" applyProtection="1">
      <alignment vertical="center"/>
      <protection locked="0"/>
    </xf>
    <xf numFmtId="0" fontId="4" fillId="0" borderId="3" xfId="2" applyFont="1" applyBorder="1" applyAlignment="1" applyProtection="1">
      <alignment vertical="center"/>
      <protection locked="0"/>
    </xf>
    <xf numFmtId="0" fontId="4" fillId="0" borderId="3" xfId="2" applyFont="1" applyBorder="1" applyAlignment="1" applyProtection="1">
      <alignment horizontal="center" vertical="center"/>
      <protection locked="0"/>
    </xf>
    <xf numFmtId="2" fontId="4" fillId="0" borderId="3" xfId="2" applyNumberFormat="1" applyFont="1" applyBorder="1" applyAlignment="1" applyProtection="1">
      <alignment horizontal="right" vertical="center"/>
      <protection locked="0"/>
    </xf>
    <xf numFmtId="2" fontId="7" fillId="0" borderId="3" xfId="2" applyNumberFormat="1" applyFont="1" applyBorder="1" applyAlignment="1" applyProtection="1">
      <alignment vertical="center"/>
      <protection locked="0"/>
    </xf>
    <xf numFmtId="0" fontId="10" fillId="0" borderId="0" xfId="2" applyFont="1" applyProtection="1">
      <protection locked="0"/>
    </xf>
    <xf numFmtId="0" fontId="4" fillId="0" borderId="0" xfId="2" quotePrefix="1" applyFont="1" applyProtection="1">
      <protection locked="0"/>
    </xf>
    <xf numFmtId="0" fontId="4" fillId="0" borderId="0" xfId="2" applyFont="1" applyAlignment="1" applyProtection="1">
      <alignment horizontal="left"/>
      <protection locked="0"/>
    </xf>
    <xf numFmtId="0" fontId="5" fillId="0" borderId="0" xfId="2" applyFont="1" applyAlignment="1" applyProtection="1">
      <alignment horizontal="left"/>
      <protection locked="0"/>
    </xf>
    <xf numFmtId="0" fontId="11" fillId="0" borderId="0" xfId="0" applyFont="1"/>
    <xf numFmtId="2" fontId="11" fillId="0" borderId="0" xfId="0" applyNumberFormat="1" applyFont="1" applyAlignment="1">
      <alignment horizontal="right" vertical="center"/>
    </xf>
    <xf numFmtId="165" fontId="11" fillId="0" borderId="0" xfId="0" applyNumberFormat="1" applyFont="1"/>
    <xf numFmtId="0" fontId="11" fillId="0" borderId="2" xfId="0" applyFont="1" applyBorder="1"/>
    <xf numFmtId="0" fontId="11" fillId="0" borderId="3" xfId="0" applyFont="1" applyBorder="1"/>
    <xf numFmtId="0" fontId="11" fillId="0" borderId="0" xfId="0" applyFont="1" applyBorder="1"/>
    <xf numFmtId="0" fontId="11" fillId="0" borderId="0" xfId="0" applyFont="1" applyBorder="1" applyAlignment="1"/>
    <xf numFmtId="0" fontId="11" fillId="0" borderId="0" xfId="0" applyFont="1" applyAlignment="1"/>
    <xf numFmtId="0" fontId="11" fillId="0" borderId="3" xfId="0" applyFont="1" applyBorder="1" applyAlignment="1"/>
    <xf numFmtId="0" fontId="11" fillId="0" borderId="1" xfId="0" applyFont="1" applyBorder="1" applyAlignment="1"/>
    <xf numFmtId="0" fontId="11" fillId="0" borderId="1" xfId="0" applyFont="1" applyBorder="1" applyAlignment="1">
      <alignment horizontal="right"/>
    </xf>
    <xf numFmtId="0" fontId="14" fillId="0" borderId="0" xfId="0" applyFont="1"/>
    <xf numFmtId="0" fontId="0" fillId="0" borderId="0" xfId="2" applyFont="1" applyFill="1" applyAlignment="1" applyProtection="1">
      <alignment horizontal="left"/>
      <protection locked="0"/>
    </xf>
    <xf numFmtId="0" fontId="0" fillId="0" borderId="0" xfId="2" applyFont="1" applyFill="1" applyAlignment="1" applyProtection="1">
      <protection locked="0"/>
    </xf>
    <xf numFmtId="164" fontId="0" fillId="0" borderId="0" xfId="2" applyNumberFormat="1" applyFont="1" applyFill="1" applyAlignment="1" applyProtection="1">
      <protection locked="0"/>
    </xf>
    <xf numFmtId="0" fontId="0" fillId="0" borderId="0" xfId="2" applyFont="1" applyProtection="1">
      <protection locked="0"/>
    </xf>
    <xf numFmtId="165" fontId="4" fillId="0" borderId="2" xfId="2" applyNumberFormat="1" applyFont="1" applyBorder="1" applyAlignment="1" applyProtection="1">
      <alignment vertical="center"/>
      <protection locked="0"/>
    </xf>
    <xf numFmtId="165" fontId="4" fillId="0" borderId="0" xfId="2" applyNumberFormat="1" applyFont="1" applyAlignment="1" applyProtection="1">
      <alignment vertical="center"/>
      <protection locked="0"/>
    </xf>
    <xf numFmtId="165" fontId="7" fillId="2" borderId="1" xfId="2" applyNumberFormat="1" applyFont="1" applyFill="1" applyBorder="1" applyAlignment="1" applyProtection="1">
      <alignment horizontal="right" vertical="center"/>
      <protection locked="0"/>
    </xf>
    <xf numFmtId="165" fontId="4" fillId="0" borderId="0" xfId="2" applyNumberFormat="1" applyFont="1" applyAlignment="1" applyProtection="1">
      <alignment vertical="center"/>
    </xf>
    <xf numFmtId="165" fontId="0" fillId="0" borderId="0" xfId="2" applyNumberFormat="1" applyFont="1" applyAlignment="1" applyProtection="1">
      <alignment vertical="center"/>
    </xf>
    <xf numFmtId="10" fontId="7" fillId="0" borderId="3" xfId="3" applyNumberFormat="1" applyFont="1" applyFill="1" applyBorder="1" applyAlignment="1" applyProtection="1">
      <alignment horizontal="center" vertical="center"/>
      <protection locked="0"/>
    </xf>
    <xf numFmtId="0" fontId="16" fillId="0" borderId="0" xfId="4" applyFont="1"/>
    <xf numFmtId="0" fontId="16" fillId="0" borderId="0" xfId="4" applyFont="1" applyAlignment="1">
      <alignment vertical="center"/>
    </xf>
    <xf numFmtId="1" fontId="16" fillId="0" borderId="0" xfId="4" applyNumberFormat="1" applyFont="1" applyFill="1" applyAlignment="1">
      <alignment horizontal="left"/>
    </xf>
    <xf numFmtId="0" fontId="16" fillId="0" borderId="0" xfId="4" applyFont="1" applyAlignment="1">
      <alignment horizontal="left"/>
    </xf>
    <xf numFmtId="166" fontId="16" fillId="0" borderId="0" xfId="4" applyNumberFormat="1" applyFont="1" applyFill="1" applyAlignment="1">
      <alignment horizontal="left"/>
    </xf>
    <xf numFmtId="2" fontId="16" fillId="0" borderId="0" xfId="4" applyNumberFormat="1" applyFont="1" applyFill="1" applyAlignment="1">
      <alignment horizontal="left"/>
    </xf>
    <xf numFmtId="0" fontId="17" fillId="0" borderId="0" xfId="4" applyFont="1" applyAlignment="1">
      <alignment vertical="center"/>
    </xf>
    <xf numFmtId="0" fontId="16" fillId="0" borderId="0" xfId="4" applyFont="1" applyFill="1"/>
    <xf numFmtId="0" fontId="16" fillId="0" borderId="0" xfId="4" applyFont="1" applyFill="1" applyAlignment="1">
      <alignment vertical="center"/>
    </xf>
    <xf numFmtId="167" fontId="16" fillId="0" borderId="0" xfId="4" applyNumberFormat="1" applyFont="1" applyFill="1" applyAlignment="1">
      <alignment horizontal="left"/>
    </xf>
    <xf numFmtId="0" fontId="16" fillId="0" borderId="4" xfId="4" applyFont="1" applyBorder="1"/>
    <xf numFmtId="0" fontId="16" fillId="0" borderId="4" xfId="4" applyFont="1" applyBorder="1" applyAlignment="1">
      <alignment vertical="center"/>
    </xf>
    <xf numFmtId="14" fontId="0" fillId="0" borderId="0" xfId="2" applyNumberFormat="1" applyFont="1" applyFill="1" applyAlignment="1" applyProtection="1">
      <protection locked="0"/>
    </xf>
    <xf numFmtId="14" fontId="4" fillId="0" borderId="0" xfId="0" applyNumberFormat="1" applyFont="1" applyAlignment="1">
      <alignment vertical="center"/>
    </xf>
    <xf numFmtId="0" fontId="7" fillId="0" borderId="0" xfId="2" applyFont="1" applyFill="1" applyAlignment="1" applyProtection="1">
      <protection locked="0"/>
    </xf>
    <xf numFmtId="0" fontId="7" fillId="0" borderId="0" xfId="2" applyFont="1" applyAlignment="1" applyProtection="1">
      <alignment horizontal="right"/>
      <protection locked="0"/>
    </xf>
    <xf numFmtId="0" fontId="0" fillId="0" borderId="0" xfId="2" applyFont="1" applyAlignment="1" applyProtection="1">
      <alignment horizontal="left"/>
      <protection locked="0"/>
    </xf>
    <xf numFmtId="0" fontId="0" fillId="0" borderId="0" xfId="2" quotePrefix="1" applyFont="1" applyProtection="1">
      <protection locked="0"/>
    </xf>
    <xf numFmtId="0" fontId="6" fillId="0" borderId="0" xfId="2" applyFont="1" applyAlignment="1" applyProtection="1">
      <alignment horizontal="left"/>
      <protection locked="0"/>
    </xf>
    <xf numFmtId="0" fontId="7" fillId="0" borderId="0" xfId="2" quotePrefix="1" applyFont="1" applyAlignment="1" applyProtection="1">
      <alignment horizontal="right"/>
      <protection locked="0"/>
    </xf>
    <xf numFmtId="0" fontId="19" fillId="0" borderId="0" xfId="2" quotePrefix="1" applyFont="1" applyAlignment="1" applyProtection="1">
      <alignment horizontal="right"/>
      <protection locked="0"/>
    </xf>
    <xf numFmtId="0" fontId="20" fillId="0" borderId="0" xfId="2" applyFont="1" applyProtection="1">
      <protection locked="0"/>
    </xf>
    <xf numFmtId="0" fontId="20" fillId="0" borderId="0" xfId="2" quotePrefix="1" applyFont="1" applyProtection="1">
      <protection locked="0"/>
    </xf>
    <xf numFmtId="0" fontId="20" fillId="0" borderId="0" xfId="2" applyFont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1" fillId="0" borderId="3" xfId="0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11" fillId="0" borderId="0" xfId="0" applyFont="1" applyBorder="1" applyProtection="1">
      <protection locked="0"/>
    </xf>
    <xf numFmtId="0" fontId="12" fillId="0" borderId="0" xfId="0" applyFont="1" applyProtection="1">
      <protection locked="0"/>
    </xf>
    <xf numFmtId="0" fontId="11" fillId="0" borderId="3" xfId="0" applyNumberFormat="1" applyFont="1" applyBorder="1" applyProtection="1">
      <protection locked="0"/>
    </xf>
    <xf numFmtId="0" fontId="7" fillId="2" borderId="1" xfId="2" applyFont="1" applyFill="1" applyBorder="1" applyAlignment="1" applyProtection="1">
      <alignment horizontal="center" vertical="center"/>
      <protection locked="0"/>
    </xf>
    <xf numFmtId="0" fontId="18" fillId="0" borderId="0" xfId="4" applyFont="1" applyBorder="1" applyAlignment="1">
      <alignment horizontal="center" vertical="center"/>
    </xf>
    <xf numFmtId="0" fontId="18" fillId="0" borderId="4" xfId="4" applyFont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4" xr:uid="{00000000-0005-0000-0000-000003000000}"/>
    <cellStyle name="Percent 2" xfId="3" xr:uid="{00000000-0005-0000-0000-000004000000}"/>
  </cellStyles>
  <dxfs count="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12700</xdr:colOff>
      <xdr:row>3</xdr:row>
      <xdr:rowOff>152400</xdr:rowOff>
    </xdr:from>
    <xdr:to>
      <xdr:col>13</xdr:col>
      <xdr:colOff>266700</xdr:colOff>
      <xdr:row>5</xdr:row>
      <xdr:rowOff>88900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11137900" y="622300"/>
          <a:ext cx="10541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5</xdr:row>
      <xdr:rowOff>127000</xdr:rowOff>
    </xdr:from>
    <xdr:to>
      <xdr:col>13</xdr:col>
      <xdr:colOff>266700</xdr:colOff>
      <xdr:row>7</xdr:row>
      <xdr:rowOff>76200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137900" y="9525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7</xdr:row>
      <xdr:rowOff>114300</xdr:rowOff>
    </xdr:from>
    <xdr:to>
      <xdr:col>13</xdr:col>
      <xdr:colOff>266700</xdr:colOff>
      <xdr:row>9</xdr:row>
      <xdr:rowOff>63500</xdr:rowOff>
    </xdr:to>
    <xdr:sp macro="" textlink="">
      <xdr:nvSpPr>
        <xdr:cNvPr id="4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137900" y="12954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14</xdr:col>
      <xdr:colOff>0</xdr:colOff>
      <xdr:row>5</xdr:row>
      <xdr:rowOff>152400</xdr:rowOff>
    </xdr:to>
    <xdr:sp macro="" textlink="">
      <xdr:nvSpPr>
        <xdr:cNvPr id="1026" name="SaveAsPDF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14</xdr:col>
      <xdr:colOff>0</xdr:colOff>
      <xdr:row>7</xdr:row>
      <xdr:rowOff>152400</xdr:rowOff>
    </xdr:to>
    <xdr:sp macro="" textlink="">
      <xdr:nvSpPr>
        <xdr:cNvPr id="1027" name="PrintPage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7</xdr:row>
      <xdr:rowOff>177800</xdr:rowOff>
    </xdr:from>
    <xdr:to>
      <xdr:col>14</xdr:col>
      <xdr:colOff>0</xdr:colOff>
      <xdr:row>10</xdr:row>
      <xdr:rowOff>1587</xdr:rowOff>
    </xdr:to>
    <xdr:sp macro="" textlink="">
      <xdr:nvSpPr>
        <xdr:cNvPr id="1028" name="EmailFactory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</xdr:row>
          <xdr:rowOff>161925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5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8</xdr:row>
          <xdr:rowOff>0</xdr:rowOff>
        </xdr:from>
        <xdr:to>
          <xdr:col>14</xdr:col>
          <xdr:colOff>0</xdr:colOff>
          <xdr:row>10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19050</xdr:rowOff>
        </xdr:from>
        <xdr:to>
          <xdr:col>14</xdr:col>
          <xdr:colOff>0</xdr:colOff>
          <xdr:row>12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UDER\ADMIN\Sauder%20Template%206-01-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-CI-PL"/>
      <sheetName val="WORKSHEET"/>
      <sheetName val="NAFTA"/>
      <sheetName val="CAFTA"/>
      <sheetName val="BOOKING"/>
      <sheetName val="SLI FORM"/>
      <sheetName val="SLI ASSIST"/>
      <sheetName val="PRICELIST"/>
      <sheetName val="STAMP"/>
    </sheetNames>
    <sheetDataSet>
      <sheetData sheetId="0">
        <row r="2">
          <cell r="P2">
            <v>0</v>
          </cell>
        </row>
        <row r="24">
          <cell r="E24">
            <v>0</v>
          </cell>
          <cell r="F24">
            <v>0</v>
          </cell>
          <cell r="L24">
            <v>0</v>
          </cell>
          <cell r="M24">
            <v>0</v>
          </cell>
        </row>
        <row r="25">
          <cell r="E25">
            <v>0</v>
          </cell>
          <cell r="F25">
            <v>0</v>
          </cell>
          <cell r="L25">
            <v>0</v>
          </cell>
          <cell r="M25">
            <v>0</v>
          </cell>
        </row>
        <row r="26">
          <cell r="E26">
            <v>0</v>
          </cell>
          <cell r="F26">
            <v>0</v>
          </cell>
          <cell r="L26">
            <v>0</v>
          </cell>
          <cell r="M26">
            <v>0</v>
          </cell>
        </row>
        <row r="27">
          <cell r="E27">
            <v>0</v>
          </cell>
          <cell r="F27">
            <v>0</v>
          </cell>
          <cell r="L27">
            <v>0</v>
          </cell>
          <cell r="M27">
            <v>0</v>
          </cell>
        </row>
        <row r="28">
          <cell r="E28">
            <v>0</v>
          </cell>
          <cell r="F28">
            <v>0</v>
          </cell>
          <cell r="L28">
            <v>0</v>
          </cell>
          <cell r="M28">
            <v>0</v>
          </cell>
        </row>
        <row r="29">
          <cell r="E29">
            <v>0</v>
          </cell>
          <cell r="F29">
            <v>0</v>
          </cell>
          <cell r="L29">
            <v>0</v>
          </cell>
          <cell r="M29">
            <v>0</v>
          </cell>
        </row>
        <row r="30">
          <cell r="E30">
            <v>0</v>
          </cell>
          <cell r="F30">
            <v>0</v>
          </cell>
          <cell r="L30">
            <v>0</v>
          </cell>
          <cell r="M30">
            <v>0</v>
          </cell>
        </row>
        <row r="31">
          <cell r="E31">
            <v>0</v>
          </cell>
          <cell r="F31">
            <v>0</v>
          </cell>
          <cell r="L31">
            <v>0</v>
          </cell>
          <cell r="M31">
            <v>0</v>
          </cell>
        </row>
        <row r="32">
          <cell r="E32">
            <v>0</v>
          </cell>
          <cell r="F32">
            <v>0</v>
          </cell>
          <cell r="L32">
            <v>0</v>
          </cell>
          <cell r="M32">
            <v>0</v>
          </cell>
        </row>
        <row r="33">
          <cell r="E33">
            <v>0</v>
          </cell>
          <cell r="F33">
            <v>0</v>
          </cell>
          <cell r="L33">
            <v>0</v>
          </cell>
          <cell r="M33">
            <v>0</v>
          </cell>
        </row>
        <row r="34">
          <cell r="E34">
            <v>0</v>
          </cell>
          <cell r="F34">
            <v>0</v>
          </cell>
          <cell r="L34">
            <v>0</v>
          </cell>
          <cell r="M34">
            <v>0</v>
          </cell>
        </row>
        <row r="35">
          <cell r="E35">
            <v>0</v>
          </cell>
          <cell r="F35">
            <v>0</v>
          </cell>
          <cell r="L35">
            <v>0</v>
          </cell>
          <cell r="M35">
            <v>0</v>
          </cell>
        </row>
        <row r="36">
          <cell r="E36">
            <v>0</v>
          </cell>
          <cell r="F36">
            <v>0</v>
          </cell>
          <cell r="L36">
            <v>0</v>
          </cell>
          <cell r="M36">
            <v>0</v>
          </cell>
        </row>
        <row r="37">
          <cell r="E37">
            <v>0</v>
          </cell>
          <cell r="F37">
            <v>0</v>
          </cell>
          <cell r="L37">
            <v>0</v>
          </cell>
          <cell r="M37">
            <v>0</v>
          </cell>
        </row>
        <row r="38">
          <cell r="E38">
            <v>0</v>
          </cell>
          <cell r="F38">
            <v>0</v>
          </cell>
          <cell r="L38">
            <v>0</v>
          </cell>
          <cell r="M38">
            <v>0</v>
          </cell>
        </row>
        <row r="39">
          <cell r="E39">
            <v>0</v>
          </cell>
          <cell r="F39">
            <v>0</v>
          </cell>
          <cell r="L39">
            <v>0</v>
          </cell>
          <cell r="M39">
            <v>0</v>
          </cell>
        </row>
        <row r="40">
          <cell r="E40">
            <v>0</v>
          </cell>
          <cell r="F40">
            <v>0</v>
          </cell>
          <cell r="L40">
            <v>0</v>
          </cell>
          <cell r="M40">
            <v>0</v>
          </cell>
        </row>
        <row r="41">
          <cell r="E41">
            <v>0</v>
          </cell>
          <cell r="F41">
            <v>0</v>
          </cell>
          <cell r="L41">
            <v>0</v>
          </cell>
          <cell r="M41">
            <v>0</v>
          </cell>
        </row>
        <row r="42">
          <cell r="E42">
            <v>0</v>
          </cell>
          <cell r="F42">
            <v>0</v>
          </cell>
          <cell r="L42">
            <v>0</v>
          </cell>
          <cell r="M42">
            <v>0</v>
          </cell>
        </row>
        <row r="43">
          <cell r="E43">
            <v>0</v>
          </cell>
          <cell r="F43">
            <v>0</v>
          </cell>
          <cell r="L43">
            <v>0</v>
          </cell>
          <cell r="M43">
            <v>0</v>
          </cell>
        </row>
        <row r="44">
          <cell r="E44">
            <v>0</v>
          </cell>
          <cell r="F44">
            <v>0</v>
          </cell>
          <cell r="L44">
            <v>0</v>
          </cell>
          <cell r="M44">
            <v>0</v>
          </cell>
        </row>
        <row r="45">
          <cell r="E45">
            <v>0</v>
          </cell>
          <cell r="F45">
            <v>0</v>
          </cell>
          <cell r="L45">
            <v>0</v>
          </cell>
          <cell r="M45">
            <v>0</v>
          </cell>
        </row>
        <row r="46">
          <cell r="E46">
            <v>0</v>
          </cell>
          <cell r="F46">
            <v>0</v>
          </cell>
          <cell r="L46">
            <v>0</v>
          </cell>
          <cell r="M46">
            <v>0</v>
          </cell>
        </row>
        <row r="47">
          <cell r="E47">
            <v>0</v>
          </cell>
          <cell r="F47">
            <v>0</v>
          </cell>
          <cell r="L47">
            <v>0</v>
          </cell>
          <cell r="M47">
            <v>0</v>
          </cell>
        </row>
        <row r="48">
          <cell r="E48">
            <v>0</v>
          </cell>
          <cell r="F48">
            <v>0</v>
          </cell>
          <cell r="L48">
            <v>0</v>
          </cell>
          <cell r="M48">
            <v>0</v>
          </cell>
        </row>
        <row r="49">
          <cell r="E49">
            <v>0</v>
          </cell>
          <cell r="F49">
            <v>0</v>
          </cell>
          <cell r="L49">
            <v>0</v>
          </cell>
          <cell r="M49">
            <v>0</v>
          </cell>
        </row>
        <row r="50">
          <cell r="E50">
            <v>0</v>
          </cell>
          <cell r="F50">
            <v>0</v>
          </cell>
          <cell r="L50">
            <v>0</v>
          </cell>
          <cell r="M50">
            <v>0</v>
          </cell>
        </row>
        <row r="51">
          <cell r="E51">
            <v>0</v>
          </cell>
          <cell r="F51">
            <v>0</v>
          </cell>
          <cell r="L51">
            <v>0</v>
          </cell>
          <cell r="M51">
            <v>0</v>
          </cell>
        </row>
        <row r="52">
          <cell r="E52">
            <v>0</v>
          </cell>
          <cell r="F52">
            <v>0</v>
          </cell>
          <cell r="L52">
            <v>0</v>
          </cell>
          <cell r="M52">
            <v>0</v>
          </cell>
        </row>
        <row r="53">
          <cell r="E53">
            <v>0</v>
          </cell>
          <cell r="F53">
            <v>0</v>
          </cell>
          <cell r="L53">
            <v>0</v>
          </cell>
          <cell r="M53">
            <v>0</v>
          </cell>
        </row>
        <row r="54">
          <cell r="E54">
            <v>0</v>
          </cell>
          <cell r="F54">
            <v>0</v>
          </cell>
          <cell r="L54">
            <v>0</v>
          </cell>
          <cell r="M54">
            <v>0</v>
          </cell>
        </row>
        <row r="55">
          <cell r="E55">
            <v>0</v>
          </cell>
          <cell r="F55">
            <v>0</v>
          </cell>
          <cell r="L55">
            <v>0</v>
          </cell>
          <cell r="M55">
            <v>0</v>
          </cell>
        </row>
        <row r="56">
          <cell r="E56">
            <v>0</v>
          </cell>
          <cell r="F56">
            <v>0</v>
          </cell>
          <cell r="L56">
            <v>0</v>
          </cell>
          <cell r="M56">
            <v>0</v>
          </cell>
        </row>
        <row r="57">
          <cell r="E57">
            <v>0</v>
          </cell>
          <cell r="F57">
            <v>0</v>
          </cell>
          <cell r="L57">
            <v>0</v>
          </cell>
          <cell r="M57">
            <v>0</v>
          </cell>
        </row>
        <row r="58">
          <cell r="E58">
            <v>0</v>
          </cell>
          <cell r="F58">
            <v>0</v>
          </cell>
          <cell r="L58">
            <v>0</v>
          </cell>
          <cell r="M58">
            <v>0</v>
          </cell>
        </row>
        <row r="59">
          <cell r="E59">
            <v>0</v>
          </cell>
          <cell r="F59">
            <v>0</v>
          </cell>
          <cell r="L59">
            <v>0</v>
          </cell>
          <cell r="M59">
            <v>0</v>
          </cell>
        </row>
        <row r="60">
          <cell r="E60">
            <v>0</v>
          </cell>
          <cell r="F60">
            <v>0</v>
          </cell>
          <cell r="L60">
            <v>0</v>
          </cell>
          <cell r="M60">
            <v>0</v>
          </cell>
        </row>
        <row r="61">
          <cell r="E61">
            <v>0</v>
          </cell>
          <cell r="F61">
            <v>0</v>
          </cell>
          <cell r="L61">
            <v>0</v>
          </cell>
          <cell r="M61">
            <v>0</v>
          </cell>
        </row>
        <row r="62">
          <cell r="E62">
            <v>0</v>
          </cell>
          <cell r="F62">
            <v>0</v>
          </cell>
          <cell r="L62">
            <v>0</v>
          </cell>
          <cell r="M62">
            <v>0</v>
          </cell>
        </row>
        <row r="63">
          <cell r="E63">
            <v>0</v>
          </cell>
          <cell r="F63">
            <v>0</v>
          </cell>
          <cell r="L63">
            <v>0</v>
          </cell>
          <cell r="M63">
            <v>0</v>
          </cell>
        </row>
        <row r="64">
          <cell r="E64">
            <v>0</v>
          </cell>
          <cell r="F64">
            <v>0</v>
          </cell>
          <cell r="L64">
            <v>0</v>
          </cell>
          <cell r="M64">
            <v>0</v>
          </cell>
        </row>
        <row r="65">
          <cell r="E65">
            <v>0</v>
          </cell>
          <cell r="F65">
            <v>0</v>
          </cell>
          <cell r="L65">
            <v>0</v>
          </cell>
          <cell r="M65">
            <v>0</v>
          </cell>
        </row>
        <row r="66">
          <cell r="E66">
            <v>0</v>
          </cell>
          <cell r="F66">
            <v>0</v>
          </cell>
          <cell r="L66">
            <v>0</v>
          </cell>
          <cell r="M66">
            <v>0</v>
          </cell>
        </row>
        <row r="67">
          <cell r="E67">
            <v>0</v>
          </cell>
          <cell r="F67">
            <v>0</v>
          </cell>
          <cell r="L67">
            <v>0</v>
          </cell>
          <cell r="M67">
            <v>0</v>
          </cell>
        </row>
        <row r="68">
          <cell r="E68">
            <v>0</v>
          </cell>
          <cell r="F68">
            <v>0</v>
          </cell>
          <cell r="L68">
            <v>0</v>
          </cell>
          <cell r="M68">
            <v>0</v>
          </cell>
        </row>
        <row r="69">
          <cell r="E69">
            <v>0</v>
          </cell>
          <cell r="F69">
            <v>0</v>
          </cell>
          <cell r="L69">
            <v>0</v>
          </cell>
          <cell r="M69">
            <v>0</v>
          </cell>
        </row>
        <row r="70">
          <cell r="E70">
            <v>0</v>
          </cell>
          <cell r="F70">
            <v>0</v>
          </cell>
          <cell r="L70">
            <v>0</v>
          </cell>
          <cell r="M70">
            <v>0</v>
          </cell>
        </row>
        <row r="71">
          <cell r="E71">
            <v>0</v>
          </cell>
          <cell r="F71">
            <v>0</v>
          </cell>
          <cell r="L71">
            <v>0</v>
          </cell>
          <cell r="M71">
            <v>0</v>
          </cell>
        </row>
        <row r="72">
          <cell r="E72">
            <v>0</v>
          </cell>
          <cell r="F72">
            <v>0</v>
          </cell>
          <cell r="L72">
            <v>0</v>
          </cell>
          <cell r="M72">
            <v>0</v>
          </cell>
        </row>
        <row r="73">
          <cell r="E73">
            <v>0</v>
          </cell>
          <cell r="F73">
            <v>0</v>
          </cell>
          <cell r="L73">
            <v>0</v>
          </cell>
          <cell r="M73">
            <v>0</v>
          </cell>
        </row>
        <row r="74">
          <cell r="E74">
            <v>0</v>
          </cell>
          <cell r="F74">
            <v>0</v>
          </cell>
          <cell r="L74">
            <v>0</v>
          </cell>
          <cell r="M74">
            <v>0</v>
          </cell>
        </row>
        <row r="75">
          <cell r="E75">
            <v>0</v>
          </cell>
          <cell r="F75">
            <v>0</v>
          </cell>
          <cell r="L75">
            <v>0</v>
          </cell>
          <cell r="M75">
            <v>0</v>
          </cell>
        </row>
        <row r="76">
          <cell r="E76">
            <v>0</v>
          </cell>
          <cell r="F76">
            <v>0</v>
          </cell>
          <cell r="L76">
            <v>0</v>
          </cell>
          <cell r="M76">
            <v>0</v>
          </cell>
        </row>
        <row r="77">
          <cell r="E77">
            <v>0</v>
          </cell>
          <cell r="F77">
            <v>0</v>
          </cell>
          <cell r="L77">
            <v>0</v>
          </cell>
          <cell r="M77">
            <v>0</v>
          </cell>
        </row>
        <row r="78">
          <cell r="E78">
            <v>0</v>
          </cell>
          <cell r="F78">
            <v>0</v>
          </cell>
          <cell r="L78">
            <v>0</v>
          </cell>
          <cell r="M78">
            <v>0</v>
          </cell>
        </row>
        <row r="79">
          <cell r="E79">
            <v>0</v>
          </cell>
          <cell r="F79">
            <v>0</v>
          </cell>
          <cell r="L79">
            <v>0</v>
          </cell>
          <cell r="M79">
            <v>0</v>
          </cell>
        </row>
        <row r="80">
          <cell r="E80">
            <v>0</v>
          </cell>
          <cell r="F80">
            <v>0</v>
          </cell>
          <cell r="L80">
            <v>0</v>
          </cell>
          <cell r="M80">
            <v>0</v>
          </cell>
        </row>
        <row r="81">
          <cell r="E81">
            <v>0</v>
          </cell>
          <cell r="F81">
            <v>0</v>
          </cell>
          <cell r="L81">
            <v>0</v>
          </cell>
          <cell r="M81">
            <v>0</v>
          </cell>
        </row>
        <row r="82">
          <cell r="E82">
            <v>0</v>
          </cell>
          <cell r="F82">
            <v>0</v>
          </cell>
          <cell r="L82">
            <v>0</v>
          </cell>
          <cell r="M82">
            <v>0</v>
          </cell>
        </row>
        <row r="83">
          <cell r="E83">
            <v>0</v>
          </cell>
          <cell r="F83">
            <v>0</v>
          </cell>
          <cell r="L83">
            <v>0</v>
          </cell>
          <cell r="M83">
            <v>0</v>
          </cell>
        </row>
        <row r="84">
          <cell r="E84">
            <v>0</v>
          </cell>
          <cell r="F84">
            <v>0</v>
          </cell>
          <cell r="L84">
            <v>0</v>
          </cell>
          <cell r="M84">
            <v>0</v>
          </cell>
        </row>
        <row r="85">
          <cell r="E85">
            <v>0</v>
          </cell>
          <cell r="F85">
            <v>0</v>
          </cell>
          <cell r="L85">
            <v>0</v>
          </cell>
          <cell r="M85">
            <v>0</v>
          </cell>
        </row>
        <row r="86">
          <cell r="E86">
            <v>0</v>
          </cell>
          <cell r="F86">
            <v>0</v>
          </cell>
          <cell r="L86">
            <v>0</v>
          </cell>
          <cell r="M86">
            <v>0</v>
          </cell>
        </row>
        <row r="87">
          <cell r="E87">
            <v>0</v>
          </cell>
          <cell r="F87">
            <v>0</v>
          </cell>
          <cell r="L87">
            <v>0</v>
          </cell>
          <cell r="M87">
            <v>0</v>
          </cell>
        </row>
        <row r="88">
          <cell r="E88">
            <v>0</v>
          </cell>
          <cell r="F88">
            <v>0</v>
          </cell>
          <cell r="L88">
            <v>0</v>
          </cell>
          <cell r="M88">
            <v>0</v>
          </cell>
        </row>
        <row r="89">
          <cell r="E89">
            <v>0</v>
          </cell>
          <cell r="F89">
            <v>0</v>
          </cell>
          <cell r="L89">
            <v>0</v>
          </cell>
          <cell r="M89">
            <v>0</v>
          </cell>
        </row>
        <row r="90">
          <cell r="E90">
            <v>0</v>
          </cell>
          <cell r="F90">
            <v>0</v>
          </cell>
          <cell r="L90">
            <v>0</v>
          </cell>
          <cell r="M90">
            <v>0</v>
          </cell>
        </row>
        <row r="91">
          <cell r="E91">
            <v>0</v>
          </cell>
          <cell r="F91">
            <v>0</v>
          </cell>
          <cell r="L91">
            <v>0</v>
          </cell>
          <cell r="M91">
            <v>0</v>
          </cell>
        </row>
        <row r="92">
          <cell r="E92">
            <v>0</v>
          </cell>
          <cell r="F92">
            <v>0</v>
          </cell>
          <cell r="L92">
            <v>0</v>
          </cell>
          <cell r="M92">
            <v>0</v>
          </cell>
        </row>
        <row r="93">
          <cell r="E93">
            <v>0</v>
          </cell>
          <cell r="F93">
            <v>0</v>
          </cell>
          <cell r="L93">
            <v>0</v>
          </cell>
          <cell r="M93">
            <v>0</v>
          </cell>
        </row>
        <row r="94">
          <cell r="E94">
            <v>0</v>
          </cell>
          <cell r="F94">
            <v>0</v>
          </cell>
          <cell r="L94">
            <v>0</v>
          </cell>
          <cell r="M94">
            <v>0</v>
          </cell>
        </row>
        <row r="95">
          <cell r="E95">
            <v>0</v>
          </cell>
          <cell r="F95">
            <v>0</v>
          </cell>
          <cell r="L95">
            <v>0</v>
          </cell>
          <cell r="M95">
            <v>0</v>
          </cell>
        </row>
        <row r="96">
          <cell r="E96">
            <v>0</v>
          </cell>
          <cell r="F96">
            <v>0</v>
          </cell>
          <cell r="L96">
            <v>0</v>
          </cell>
          <cell r="M96">
            <v>0</v>
          </cell>
        </row>
        <row r="97">
          <cell r="E97">
            <v>0</v>
          </cell>
          <cell r="F97">
            <v>0</v>
          </cell>
          <cell r="L97">
            <v>0</v>
          </cell>
          <cell r="M97">
            <v>0</v>
          </cell>
        </row>
        <row r="98">
          <cell r="E98">
            <v>0</v>
          </cell>
          <cell r="F98">
            <v>0</v>
          </cell>
          <cell r="L98">
            <v>0</v>
          </cell>
          <cell r="M98">
            <v>0</v>
          </cell>
        </row>
        <row r="99">
          <cell r="E99">
            <v>0</v>
          </cell>
          <cell r="F99">
            <v>0</v>
          </cell>
          <cell r="L99">
            <v>0</v>
          </cell>
          <cell r="M99">
            <v>0</v>
          </cell>
        </row>
        <row r="100">
          <cell r="C100">
            <v>0</v>
          </cell>
          <cell r="E10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74"/>
  <sheetViews>
    <sheetView zoomScale="85" zoomScaleNormal="85" workbookViewId="0"/>
  </sheetViews>
  <sheetFormatPr defaultColWidth="10.75" defaultRowHeight="15.75" x14ac:dyDescent="0.25"/>
  <cols>
    <col min="1" max="1" width="18.25" style="1" customWidth="1"/>
    <col min="2" max="8" width="12.5" style="1" customWidth="1"/>
    <col min="9" max="10" width="12.5" style="18" customWidth="1"/>
    <col min="11" max="26" width="12.5" style="24" customWidth="1"/>
    <col min="27" max="16384" width="10.75" style="1"/>
  </cols>
  <sheetData>
    <row r="1" spans="1:26" ht="21" x14ac:dyDescent="0.25">
      <c r="A1" s="17" t="s">
        <v>0</v>
      </c>
    </row>
    <row r="2" spans="1:26" s="2" customFormat="1" ht="15.4" customHeight="1" x14ac:dyDescent="0.25">
      <c r="I2" s="19"/>
      <c r="J2" s="19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s="2" customFormat="1" ht="15.4" customHeight="1" x14ac:dyDescent="0.25">
      <c r="A3" s="3" t="s">
        <v>1</v>
      </c>
      <c r="E3" s="3" t="s">
        <v>2</v>
      </c>
      <c r="I3" s="20" t="s">
        <v>3</v>
      </c>
      <c r="J3" s="19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2" customFormat="1" ht="15.4" customHeight="1" x14ac:dyDescent="0.25">
      <c r="I4" s="19"/>
      <c r="J4" s="19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" customFormat="1" ht="15.4" customHeight="1" x14ac:dyDescent="0.25">
      <c r="A5" s="4" t="s">
        <v>4</v>
      </c>
      <c r="G5" s="4" t="s">
        <v>11</v>
      </c>
      <c r="I5" s="19"/>
      <c r="J5" s="19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s="2" customFormat="1" ht="15.4" customHeight="1" x14ac:dyDescent="0.25">
      <c r="A6" s="4" t="s">
        <v>5</v>
      </c>
      <c r="I6" s="19"/>
      <c r="J6" s="19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s="2" customFormat="1" ht="15.4" customHeight="1" x14ac:dyDescent="0.25">
      <c r="A7" s="4" t="s">
        <v>6</v>
      </c>
      <c r="I7" s="19"/>
      <c r="J7" s="19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s="2" customFormat="1" ht="15.4" customHeight="1" x14ac:dyDescent="0.25">
      <c r="A8" s="4" t="s">
        <v>7</v>
      </c>
      <c r="I8" s="19"/>
      <c r="J8" s="19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s="2" customFormat="1" ht="15.4" customHeight="1" x14ac:dyDescent="0.25">
      <c r="A9" s="5" t="s">
        <v>8</v>
      </c>
      <c r="I9" s="19"/>
      <c r="J9" s="19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s="2" customFormat="1" ht="15.4" customHeight="1" x14ac:dyDescent="0.25">
      <c r="A10" s="5" t="s">
        <v>9</v>
      </c>
      <c r="I10" s="19"/>
      <c r="J10" s="19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s="2" customFormat="1" ht="15.4" customHeight="1" x14ac:dyDescent="0.25">
      <c r="A11" s="5" t="s">
        <v>82</v>
      </c>
      <c r="I11" s="19"/>
      <c r="J11" s="19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s="2" customFormat="1" ht="15.4" customHeight="1" x14ac:dyDescent="0.25">
      <c r="A12" s="4" t="s">
        <v>10</v>
      </c>
      <c r="B12" s="105"/>
      <c r="I12" s="19"/>
      <c r="J12" s="19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s="2" customFormat="1" ht="15.4" customHeight="1" x14ac:dyDescent="0.25">
      <c r="I13" s="19"/>
      <c r="J13" s="19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s="2" customFormat="1" ht="15.4" customHeight="1" x14ac:dyDescent="0.25">
      <c r="A14" s="6" t="s">
        <v>12</v>
      </c>
      <c r="B14" s="6" t="s">
        <v>13</v>
      </c>
      <c r="C14" s="7"/>
      <c r="D14" s="8"/>
      <c r="E14" s="6" t="s">
        <v>14</v>
      </c>
      <c r="F14" s="9"/>
      <c r="G14" s="9"/>
      <c r="H14" s="10" t="s">
        <v>15</v>
      </c>
      <c r="I14" s="21" t="s">
        <v>16</v>
      </c>
      <c r="J14" s="15" t="s">
        <v>17</v>
      </c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26" s="2" customFormat="1" ht="15.4" customHeight="1" x14ac:dyDescent="0.25">
      <c r="A15" s="11"/>
      <c r="H15" s="12"/>
      <c r="I15" s="22"/>
      <c r="J15" s="22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s="2" customFormat="1" ht="15.4" customHeight="1" x14ac:dyDescent="0.25">
      <c r="A16" s="11"/>
      <c r="H16" s="12"/>
      <c r="I16" s="22"/>
      <c r="J16" s="22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s="2" customFormat="1" ht="15.4" customHeight="1" x14ac:dyDescent="0.25">
      <c r="A17" s="11"/>
      <c r="H17" s="12"/>
      <c r="I17" s="22"/>
      <c r="J17" s="22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s="2" customFormat="1" ht="15.4" customHeight="1" x14ac:dyDescent="0.25">
      <c r="A18" s="11"/>
      <c r="H18" s="12"/>
      <c r="I18" s="22"/>
      <c r="J18" s="22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s="2" customFormat="1" ht="15.4" customHeight="1" x14ac:dyDescent="0.25">
      <c r="A19" s="11"/>
      <c r="H19" s="12"/>
      <c r="I19" s="22"/>
      <c r="J19" s="22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s="2" customFormat="1" ht="15.4" customHeight="1" x14ac:dyDescent="0.25">
      <c r="A20" s="11"/>
      <c r="H20" s="12"/>
      <c r="I20" s="22"/>
      <c r="J20" s="22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s="2" customFormat="1" ht="15.4" customHeight="1" x14ac:dyDescent="0.25">
      <c r="A21" s="11"/>
      <c r="H21" s="12"/>
      <c r="I21" s="22"/>
      <c r="J21" s="22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s="2" customFormat="1" ht="15.4" customHeight="1" x14ac:dyDescent="0.25">
      <c r="A22" s="11"/>
      <c r="H22" s="12"/>
      <c r="I22" s="22"/>
      <c r="J22" s="22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s="2" customFormat="1" ht="15.4" customHeight="1" x14ac:dyDescent="0.25">
      <c r="A23" s="11"/>
      <c r="H23" s="12"/>
      <c r="I23" s="22"/>
      <c r="J23" s="22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s="2" customFormat="1" ht="15.4" customHeight="1" x14ac:dyDescent="0.25">
      <c r="A24" s="11"/>
      <c r="H24" s="12"/>
      <c r="I24" s="22"/>
      <c r="J24" s="22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s="2" customFormat="1" ht="15.4" customHeight="1" x14ac:dyDescent="0.25">
      <c r="A25" s="11"/>
      <c r="H25" s="12"/>
      <c r="I25" s="22"/>
      <c r="J25" s="22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s="2" customFormat="1" ht="15.4" customHeight="1" x14ac:dyDescent="0.25">
      <c r="A26" s="11"/>
      <c r="H26" s="12"/>
      <c r="I26" s="22"/>
      <c r="J26" s="22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s="2" customFormat="1" ht="15.4" customHeight="1" x14ac:dyDescent="0.25">
      <c r="A27" s="11"/>
      <c r="H27" s="12"/>
      <c r="I27" s="22"/>
      <c r="J27" s="22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s="2" customFormat="1" ht="15.4" customHeight="1" x14ac:dyDescent="0.25">
      <c r="A28" s="11"/>
      <c r="H28" s="12"/>
      <c r="I28" s="22"/>
      <c r="J28" s="22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s="2" customFormat="1" ht="15.4" customHeight="1" x14ac:dyDescent="0.25">
      <c r="A29" s="11"/>
      <c r="H29" s="12"/>
      <c r="I29" s="22"/>
      <c r="J29" s="22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s="2" customFormat="1" ht="15.4" customHeight="1" x14ac:dyDescent="0.25">
      <c r="A30" s="11"/>
      <c r="H30" s="12"/>
      <c r="I30" s="22"/>
      <c r="J30" s="22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s="2" customFormat="1" ht="15.4" customHeight="1" x14ac:dyDescent="0.25">
      <c r="A31" s="11"/>
      <c r="H31" s="12"/>
      <c r="I31" s="22"/>
      <c r="J31" s="22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s="2" customFormat="1" ht="15.4" customHeight="1" x14ac:dyDescent="0.25">
      <c r="A32" s="11"/>
      <c r="H32" s="12"/>
      <c r="I32" s="22"/>
      <c r="J32" s="22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s="2" customFormat="1" ht="15.4" customHeight="1" x14ac:dyDescent="0.25">
      <c r="A33" s="11"/>
      <c r="H33" s="12"/>
      <c r="I33" s="22"/>
      <c r="J33" s="22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s="2" customFormat="1" ht="15.4" customHeight="1" x14ac:dyDescent="0.25">
      <c r="A34" s="11"/>
      <c r="H34" s="12"/>
      <c r="I34" s="22"/>
      <c r="J34" s="22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s="2" customFormat="1" ht="15.4" customHeight="1" x14ac:dyDescent="0.25">
      <c r="A35" s="11"/>
      <c r="H35" s="12"/>
      <c r="I35" s="22"/>
      <c r="J35" s="22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s="2" customFormat="1" ht="15.4" customHeight="1" x14ac:dyDescent="0.25">
      <c r="A36" s="11"/>
      <c r="H36" s="12"/>
      <c r="I36" s="22"/>
      <c r="J36" s="22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s="2" customFormat="1" ht="15.4" customHeight="1" x14ac:dyDescent="0.25">
      <c r="A37" s="11"/>
      <c r="H37" s="12"/>
      <c r="I37" s="22"/>
      <c r="J37" s="22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s="2" customFormat="1" ht="15.4" customHeight="1" x14ac:dyDescent="0.25">
      <c r="A38" s="11"/>
      <c r="H38" s="12"/>
      <c r="I38" s="22"/>
      <c r="J38" s="22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s="2" customFormat="1" ht="15.4" customHeight="1" x14ac:dyDescent="0.25">
      <c r="A39" s="11"/>
      <c r="H39" s="12"/>
      <c r="I39" s="22"/>
      <c r="J39" s="22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s="2" customFormat="1" ht="15.4" customHeight="1" x14ac:dyDescent="0.25">
      <c r="A40" s="11"/>
      <c r="F40" s="13" t="s">
        <v>18</v>
      </c>
      <c r="G40" s="13"/>
      <c r="H40" s="14"/>
      <c r="I40" s="15"/>
      <c r="J40" s="15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</row>
    <row r="41" spans="1:26" x14ac:dyDescent="0.25">
      <c r="H41" s="16"/>
      <c r="I41" s="23"/>
      <c r="J41" s="23"/>
    </row>
    <row r="42" spans="1:26" x14ac:dyDescent="0.25">
      <c r="H42" s="16"/>
      <c r="I42" s="23"/>
      <c r="J42" s="23"/>
    </row>
    <row r="43" spans="1:26" x14ac:dyDescent="0.25">
      <c r="H43" s="16"/>
      <c r="I43" s="23"/>
      <c r="J43" s="23"/>
    </row>
    <row r="44" spans="1:26" x14ac:dyDescent="0.25">
      <c r="H44" s="16"/>
      <c r="I44" s="23"/>
      <c r="J44" s="23"/>
    </row>
    <row r="45" spans="1:26" x14ac:dyDescent="0.25">
      <c r="H45" s="16"/>
      <c r="I45" s="23"/>
      <c r="J45" s="23"/>
    </row>
    <row r="46" spans="1:26" x14ac:dyDescent="0.25">
      <c r="H46" s="16"/>
      <c r="I46" s="23"/>
      <c r="J46" s="23"/>
    </row>
    <row r="47" spans="1:26" x14ac:dyDescent="0.25">
      <c r="H47" s="16"/>
      <c r="I47" s="23"/>
      <c r="J47" s="23"/>
    </row>
    <row r="48" spans="1:26" x14ac:dyDescent="0.25">
      <c r="H48" s="16"/>
      <c r="I48" s="23"/>
      <c r="J48" s="23"/>
    </row>
    <row r="49" spans="8:10" x14ac:dyDescent="0.25">
      <c r="H49" s="16"/>
      <c r="I49" s="23"/>
      <c r="J49" s="23"/>
    </row>
    <row r="50" spans="8:10" x14ac:dyDescent="0.25">
      <c r="H50" s="16"/>
      <c r="I50" s="23"/>
      <c r="J50" s="23"/>
    </row>
    <row r="51" spans="8:10" x14ac:dyDescent="0.25">
      <c r="H51" s="16"/>
      <c r="I51" s="23"/>
      <c r="J51" s="23"/>
    </row>
    <row r="52" spans="8:10" x14ac:dyDescent="0.25">
      <c r="H52" s="16"/>
      <c r="I52" s="23"/>
      <c r="J52" s="23"/>
    </row>
    <row r="53" spans="8:10" x14ac:dyDescent="0.25">
      <c r="H53" s="16"/>
      <c r="I53" s="23"/>
      <c r="J53" s="23"/>
    </row>
    <row r="54" spans="8:10" x14ac:dyDescent="0.25">
      <c r="H54" s="16"/>
      <c r="I54" s="23"/>
      <c r="J54" s="23"/>
    </row>
    <row r="55" spans="8:10" x14ac:dyDescent="0.25">
      <c r="H55" s="16"/>
      <c r="I55" s="23"/>
      <c r="J55" s="23"/>
    </row>
    <row r="56" spans="8:10" x14ac:dyDescent="0.25">
      <c r="H56" s="16"/>
      <c r="I56" s="23"/>
      <c r="J56" s="23"/>
    </row>
    <row r="57" spans="8:10" x14ac:dyDescent="0.25">
      <c r="H57" s="16"/>
      <c r="I57" s="23"/>
      <c r="J57" s="23"/>
    </row>
    <row r="58" spans="8:10" x14ac:dyDescent="0.25">
      <c r="H58" s="16"/>
      <c r="I58" s="23"/>
      <c r="J58" s="23"/>
    </row>
    <row r="59" spans="8:10" x14ac:dyDescent="0.25">
      <c r="H59" s="16"/>
      <c r="I59" s="23"/>
      <c r="J59" s="23"/>
    </row>
    <row r="60" spans="8:10" x14ac:dyDescent="0.25">
      <c r="H60" s="16"/>
      <c r="I60" s="23"/>
      <c r="J60" s="23"/>
    </row>
    <row r="61" spans="8:10" x14ac:dyDescent="0.25">
      <c r="H61" s="16"/>
      <c r="I61" s="23"/>
      <c r="J61" s="23"/>
    </row>
    <row r="62" spans="8:10" x14ac:dyDescent="0.25">
      <c r="H62" s="16"/>
    </row>
    <row r="63" spans="8:10" x14ac:dyDescent="0.25">
      <c r="H63" s="16"/>
    </row>
    <row r="64" spans="8:10" x14ac:dyDescent="0.25">
      <c r="H64" s="16"/>
    </row>
    <row r="65" spans="8:8" x14ac:dyDescent="0.25">
      <c r="H65" s="16"/>
    </row>
    <row r="66" spans="8:8" x14ac:dyDescent="0.25">
      <c r="H66" s="16"/>
    </row>
    <row r="67" spans="8:8" x14ac:dyDescent="0.25">
      <c r="H67" s="16"/>
    </row>
    <row r="68" spans="8:8" x14ac:dyDescent="0.25">
      <c r="H68" s="16"/>
    </row>
    <row r="69" spans="8:8" x14ac:dyDescent="0.25">
      <c r="H69" s="16"/>
    </row>
    <row r="70" spans="8:8" x14ac:dyDescent="0.25">
      <c r="H70" s="16"/>
    </row>
    <row r="71" spans="8:8" x14ac:dyDescent="0.25">
      <c r="H71" s="16"/>
    </row>
    <row r="72" spans="8:8" x14ac:dyDescent="0.25">
      <c r="H72" s="16"/>
    </row>
    <row r="73" spans="8:8" x14ac:dyDescent="0.25">
      <c r="H73" s="16"/>
    </row>
    <row r="74" spans="8:8" x14ac:dyDescent="0.25">
      <c r="H74" s="16"/>
    </row>
  </sheetData>
  <conditionalFormatting sqref="K14:Z14 K40:Z40">
    <cfRule type="expression" dxfId="4" priority="1">
      <formula>K$14&lt;&gt;""</formula>
    </cfRule>
  </conditionalFormatting>
  <printOptions horizontalCentered="1"/>
  <pageMargins left="0.45" right="0.45" top="1" bottom="0.75" header="0.3" footer="0.3"/>
  <pageSetup scale="68" fitToHeight="0" orientation="portrait" r:id="rId1"/>
  <headerFooter>
    <oddHeader>&amp;C&amp;"-,Bold"&amp;16EXPORT HOME FURNISHINGS, INC.&amp;"-,Regular"
3635 PEACHTREE INDUSTRIAL BLVD SUITE  700 
TEL: (678) 646 0476 - FAX: (678) 646 0482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K86"/>
  <sheetViews>
    <sheetView showGridLines="0" topLeftCell="A49" zoomScaleNormal="100" workbookViewId="0">
      <selection sqref="A1:I1"/>
    </sheetView>
  </sheetViews>
  <sheetFormatPr defaultColWidth="8.75" defaultRowHeight="15.75" x14ac:dyDescent="0.25"/>
  <cols>
    <col min="1" max="6" width="12.5" style="30" customWidth="1"/>
    <col min="7" max="7" width="12.5" style="31" customWidth="1"/>
    <col min="8" max="9" width="12.5" style="30" customWidth="1"/>
    <col min="10" max="11" width="11.5" style="33" customWidth="1"/>
    <col min="12" max="13" width="10.5" style="30" customWidth="1"/>
    <col min="14" max="16384" width="8.75" style="30"/>
  </cols>
  <sheetData>
    <row r="1" spans="1:11" s="28" customFormat="1" ht="18" customHeight="1" x14ac:dyDescent="0.25">
      <c r="A1" s="123" t="s">
        <v>44</v>
      </c>
      <c r="B1" s="123"/>
      <c r="C1" s="123"/>
      <c r="D1" s="123"/>
      <c r="E1" s="123"/>
      <c r="F1" s="123"/>
      <c r="G1" s="123"/>
      <c r="H1" s="123"/>
      <c r="I1" s="123"/>
      <c r="J1" s="27"/>
      <c r="K1" s="27"/>
    </row>
    <row r="2" spans="1:11" ht="4.9000000000000004" customHeight="1" x14ac:dyDescent="0.25">
      <c r="A2" s="29"/>
      <c r="I2" s="32"/>
    </row>
    <row r="3" spans="1:11" ht="13.9" customHeight="1" x14ac:dyDescent="0.25">
      <c r="A3" s="34" t="s">
        <v>19</v>
      </c>
      <c r="B3" s="85"/>
      <c r="D3" s="35" t="s">
        <v>20</v>
      </c>
      <c r="E3" s="82"/>
      <c r="F3" s="35"/>
      <c r="G3" s="37"/>
      <c r="H3" s="35" t="s">
        <v>3</v>
      </c>
      <c r="I3" s="84"/>
    </row>
    <row r="4" spans="1:11" ht="13.9" customHeight="1" x14ac:dyDescent="0.25">
      <c r="A4" s="38"/>
      <c r="B4" s="38"/>
      <c r="C4" s="36"/>
      <c r="D4" s="35" t="s">
        <v>9</v>
      </c>
      <c r="E4" s="83"/>
      <c r="F4" s="38"/>
      <c r="G4" s="30"/>
      <c r="H4" s="29"/>
      <c r="I4" s="32"/>
    </row>
    <row r="5" spans="1:11" ht="13.9" customHeight="1" x14ac:dyDescent="0.25">
      <c r="A5" s="38"/>
      <c r="B5" s="38"/>
      <c r="C5" s="38"/>
      <c r="D5" s="35" t="s">
        <v>21</v>
      </c>
      <c r="E5" s="104" t="str">
        <f>IF(PI!B12&lt;&gt;0,PI!B12,"")</f>
        <v/>
      </c>
      <c r="F5" s="35"/>
      <c r="G5" s="37"/>
      <c r="H5" s="29"/>
      <c r="I5" s="32"/>
    </row>
    <row r="6" spans="1:11" ht="13.9" customHeight="1" x14ac:dyDescent="0.25">
      <c r="A6" s="106"/>
      <c r="B6" s="38"/>
      <c r="C6" s="38"/>
      <c r="D6" s="34"/>
      <c r="E6" s="38"/>
      <c r="F6" s="38"/>
      <c r="G6" s="38"/>
      <c r="H6" s="29"/>
      <c r="I6" s="32"/>
    </row>
    <row r="7" spans="1:11" ht="13.9" customHeight="1" x14ac:dyDescent="0.25">
      <c r="B7" s="38"/>
      <c r="C7" s="38"/>
      <c r="E7" s="35"/>
      <c r="F7" s="35"/>
      <c r="G7" s="38"/>
      <c r="H7" s="29"/>
      <c r="I7" s="32"/>
    </row>
    <row r="8" spans="1:11" ht="13.9" customHeight="1" x14ac:dyDescent="0.25">
      <c r="A8" s="39" t="s">
        <v>101</v>
      </c>
      <c r="B8" s="40"/>
      <c r="C8" s="40"/>
      <c r="D8" s="40"/>
      <c r="E8" s="40"/>
      <c r="F8" s="40"/>
      <c r="G8" s="41"/>
      <c r="H8" s="41"/>
      <c r="I8" s="41"/>
      <c r="J8" s="42"/>
      <c r="K8" s="42"/>
    </row>
    <row r="9" spans="1:11" ht="13.9" customHeight="1" x14ac:dyDescent="0.25">
      <c r="A9" s="40"/>
      <c r="B9" s="40"/>
      <c r="C9" s="40"/>
      <c r="D9" s="40"/>
      <c r="E9" s="40"/>
      <c r="F9" s="40"/>
      <c r="G9" s="41"/>
      <c r="H9" s="41"/>
      <c r="I9" s="41"/>
      <c r="J9" s="42"/>
      <c r="K9" s="42"/>
    </row>
    <row r="10" spans="1:11" ht="13.9" customHeight="1" x14ac:dyDescent="0.25">
      <c r="A10" s="43" t="s">
        <v>12</v>
      </c>
      <c r="B10" s="44" t="s">
        <v>13</v>
      </c>
      <c r="C10" s="44"/>
      <c r="D10" s="44" t="s">
        <v>14</v>
      </c>
      <c r="E10" s="44"/>
      <c r="F10" s="44"/>
      <c r="G10" s="45" t="s">
        <v>15</v>
      </c>
      <c r="H10" s="46" t="s">
        <v>22</v>
      </c>
      <c r="I10" s="47" t="s">
        <v>23</v>
      </c>
      <c r="J10" s="27" t="s">
        <v>24</v>
      </c>
      <c r="K10" s="27" t="s">
        <v>25</v>
      </c>
    </row>
    <row r="11" spans="1:11" s="51" customFormat="1" ht="13.9" customHeight="1" x14ac:dyDescent="0.25">
      <c r="A11" s="48"/>
      <c r="B11" s="48"/>
      <c r="C11" s="48"/>
      <c r="D11" s="48"/>
      <c r="E11" s="48"/>
      <c r="F11" s="48"/>
      <c r="G11" s="49"/>
      <c r="H11" s="89"/>
      <c r="I11" s="90" t="str">
        <f>IFERROR(IF(G11*H11&lt;&gt;0,G11*H11,""),"")</f>
        <v/>
      </c>
      <c r="J11" s="50"/>
      <c r="K11" s="50" t="str">
        <f>IFERROR(IF(G11*J11&lt;&gt;0,G11*J11,""),"")</f>
        <v/>
      </c>
    </row>
    <row r="12" spans="1:11" s="55" customFormat="1" ht="13.9" customHeight="1" x14ac:dyDescent="0.25">
      <c r="A12" s="52"/>
      <c r="B12" s="52"/>
      <c r="C12" s="52"/>
      <c r="D12" s="52"/>
      <c r="E12" s="52"/>
      <c r="F12" s="52"/>
      <c r="G12" s="53"/>
      <c r="H12" s="87"/>
      <c r="I12" s="90" t="str">
        <f t="shared" ref="I12:I48" si="0">IFERROR(IF(G12*H12&lt;&gt;0,G12*H12,""),"")</f>
        <v/>
      </c>
      <c r="J12" s="54"/>
      <c r="K12" s="50" t="str">
        <f t="shared" ref="K12:K48" si="1">IFERROR(IF(G12*J12&lt;&gt;0,G12*J12,""),"")</f>
        <v/>
      </c>
    </row>
    <row r="13" spans="1:11" s="51" customFormat="1" ht="15" customHeight="1" x14ac:dyDescent="0.25">
      <c r="A13" s="52"/>
      <c r="B13" s="52"/>
      <c r="C13" s="52"/>
      <c r="D13" s="52"/>
      <c r="E13" s="52"/>
      <c r="F13" s="52"/>
      <c r="G13" s="53"/>
      <c r="H13" s="87"/>
      <c r="I13" s="90" t="str">
        <f t="shared" si="0"/>
        <v/>
      </c>
      <c r="J13" s="54"/>
      <c r="K13" s="50" t="str">
        <f t="shared" si="1"/>
        <v/>
      </c>
    </row>
    <row r="14" spans="1:11" s="51" customFormat="1" x14ac:dyDescent="0.25">
      <c r="A14" s="52"/>
      <c r="B14" s="52"/>
      <c r="C14" s="52"/>
      <c r="D14" s="52"/>
      <c r="E14" s="52"/>
      <c r="F14" s="52"/>
      <c r="G14" s="53"/>
      <c r="H14" s="87"/>
      <c r="I14" s="90" t="str">
        <f t="shared" si="0"/>
        <v/>
      </c>
      <c r="J14" s="54"/>
      <c r="K14" s="50" t="str">
        <f t="shared" si="1"/>
        <v/>
      </c>
    </row>
    <row r="15" spans="1:11" s="51" customFormat="1" x14ac:dyDescent="0.25">
      <c r="A15" s="52"/>
      <c r="B15" s="52"/>
      <c r="C15" s="52"/>
      <c r="D15" s="52"/>
      <c r="E15" s="52"/>
      <c r="F15" s="52"/>
      <c r="G15" s="53"/>
      <c r="H15" s="87"/>
      <c r="I15" s="90" t="str">
        <f t="shared" si="0"/>
        <v/>
      </c>
      <c r="J15" s="54"/>
      <c r="K15" s="50" t="str">
        <f t="shared" si="1"/>
        <v/>
      </c>
    </row>
    <row r="16" spans="1:11" s="51" customFormat="1" x14ac:dyDescent="0.25">
      <c r="A16" s="52"/>
      <c r="B16" s="52"/>
      <c r="C16" s="52"/>
      <c r="D16" s="52"/>
      <c r="E16" s="52"/>
      <c r="F16" s="52"/>
      <c r="G16" s="53"/>
      <c r="H16" s="87"/>
      <c r="I16" s="90" t="str">
        <f t="shared" si="0"/>
        <v/>
      </c>
      <c r="J16" s="54"/>
      <c r="K16" s="50" t="str">
        <f t="shared" si="1"/>
        <v/>
      </c>
    </row>
    <row r="17" spans="1:11" s="51" customFormat="1" x14ac:dyDescent="0.25">
      <c r="A17" s="52"/>
      <c r="B17" s="52"/>
      <c r="C17" s="52"/>
      <c r="D17" s="52"/>
      <c r="E17" s="52"/>
      <c r="F17" s="52"/>
      <c r="G17" s="53"/>
      <c r="H17" s="87"/>
      <c r="I17" s="90" t="str">
        <f t="shared" si="0"/>
        <v/>
      </c>
      <c r="J17" s="54"/>
      <c r="K17" s="50" t="str">
        <f t="shared" si="1"/>
        <v/>
      </c>
    </row>
    <row r="18" spans="1:11" s="51" customFormat="1" x14ac:dyDescent="0.25">
      <c r="A18" s="52"/>
      <c r="B18" s="52"/>
      <c r="C18" s="52"/>
      <c r="D18" s="52"/>
      <c r="E18" s="52"/>
      <c r="F18" s="52"/>
      <c r="G18" s="53"/>
      <c r="H18" s="87"/>
      <c r="I18" s="90" t="str">
        <f t="shared" si="0"/>
        <v/>
      </c>
      <c r="J18" s="54"/>
      <c r="K18" s="50" t="str">
        <f t="shared" si="1"/>
        <v/>
      </c>
    </row>
    <row r="19" spans="1:11" s="51" customFormat="1" x14ac:dyDescent="0.25">
      <c r="A19" s="52"/>
      <c r="B19" s="52"/>
      <c r="C19" s="52"/>
      <c r="D19" s="52"/>
      <c r="E19" s="52"/>
      <c r="F19" s="52"/>
      <c r="G19" s="53"/>
      <c r="H19" s="87"/>
      <c r="I19" s="90" t="str">
        <f t="shared" si="0"/>
        <v/>
      </c>
      <c r="J19" s="54"/>
      <c r="K19" s="50" t="str">
        <f t="shared" si="1"/>
        <v/>
      </c>
    </row>
    <row r="20" spans="1:11" s="51" customFormat="1" x14ac:dyDescent="0.25">
      <c r="A20" s="52"/>
      <c r="B20" s="52"/>
      <c r="C20" s="52"/>
      <c r="D20" s="52"/>
      <c r="E20" s="52"/>
      <c r="F20" s="52"/>
      <c r="G20" s="53"/>
      <c r="H20" s="87"/>
      <c r="I20" s="90" t="str">
        <f t="shared" si="0"/>
        <v/>
      </c>
      <c r="J20" s="54"/>
      <c r="K20" s="50" t="str">
        <f t="shared" si="1"/>
        <v/>
      </c>
    </row>
    <row r="21" spans="1:11" s="51" customFormat="1" x14ac:dyDescent="0.25">
      <c r="A21" s="52"/>
      <c r="B21" s="56"/>
      <c r="C21" s="56"/>
      <c r="D21" s="52"/>
      <c r="E21" s="52"/>
      <c r="F21" s="52"/>
      <c r="G21" s="53"/>
      <c r="H21" s="87"/>
      <c r="I21" s="90" t="str">
        <f t="shared" si="0"/>
        <v/>
      </c>
      <c r="J21" s="54"/>
      <c r="K21" s="50" t="str">
        <f t="shared" si="1"/>
        <v/>
      </c>
    </row>
    <row r="22" spans="1:11" s="51" customFormat="1" x14ac:dyDescent="0.25">
      <c r="A22" s="52"/>
      <c r="B22" s="52"/>
      <c r="C22" s="52"/>
      <c r="D22" s="52"/>
      <c r="E22" s="52"/>
      <c r="F22" s="52"/>
      <c r="G22" s="53"/>
      <c r="H22" s="87"/>
      <c r="I22" s="90" t="str">
        <f t="shared" si="0"/>
        <v/>
      </c>
      <c r="J22" s="54"/>
      <c r="K22" s="50" t="str">
        <f t="shared" si="1"/>
        <v/>
      </c>
    </row>
    <row r="23" spans="1:11" s="51" customFormat="1" x14ac:dyDescent="0.25">
      <c r="A23" s="52"/>
      <c r="B23" s="56"/>
      <c r="C23" s="56"/>
      <c r="D23" s="52"/>
      <c r="E23" s="52"/>
      <c r="F23" s="52"/>
      <c r="G23" s="53"/>
      <c r="H23" s="87"/>
      <c r="I23" s="90" t="str">
        <f t="shared" si="0"/>
        <v/>
      </c>
      <c r="J23" s="54"/>
      <c r="K23" s="50" t="str">
        <f t="shared" si="1"/>
        <v/>
      </c>
    </row>
    <row r="24" spans="1:11" s="51" customFormat="1" x14ac:dyDescent="0.25">
      <c r="A24" s="52"/>
      <c r="B24" s="52"/>
      <c r="C24" s="52"/>
      <c r="D24" s="52"/>
      <c r="E24" s="52"/>
      <c r="F24" s="52"/>
      <c r="G24" s="53"/>
      <c r="H24" s="87"/>
      <c r="I24" s="90" t="str">
        <f t="shared" si="0"/>
        <v/>
      </c>
      <c r="J24" s="54"/>
      <c r="K24" s="50" t="str">
        <f t="shared" si="1"/>
        <v/>
      </c>
    </row>
    <row r="25" spans="1:11" s="51" customFormat="1" x14ac:dyDescent="0.25">
      <c r="A25" s="52"/>
      <c r="B25" s="56"/>
      <c r="C25" s="56"/>
      <c r="D25" s="52"/>
      <c r="E25" s="52"/>
      <c r="F25" s="52"/>
      <c r="G25" s="53"/>
      <c r="H25" s="87"/>
      <c r="I25" s="90" t="str">
        <f t="shared" si="0"/>
        <v/>
      </c>
      <c r="J25" s="54"/>
      <c r="K25" s="50" t="str">
        <f t="shared" si="1"/>
        <v/>
      </c>
    </row>
    <row r="26" spans="1:11" s="51" customFormat="1" x14ac:dyDescent="0.25">
      <c r="A26" s="56"/>
      <c r="B26" s="52"/>
      <c r="C26" s="52"/>
      <c r="D26" s="52"/>
      <c r="E26" s="52"/>
      <c r="F26" s="52"/>
      <c r="G26" s="53"/>
      <c r="H26" s="87"/>
      <c r="I26" s="90" t="str">
        <f t="shared" si="0"/>
        <v/>
      </c>
      <c r="J26" s="54"/>
      <c r="K26" s="50" t="str">
        <f t="shared" si="1"/>
        <v/>
      </c>
    </row>
    <row r="27" spans="1:11" s="51" customFormat="1" x14ac:dyDescent="0.25">
      <c r="A27" s="52"/>
      <c r="B27" s="52"/>
      <c r="C27" s="52"/>
      <c r="D27" s="52"/>
      <c r="E27" s="52"/>
      <c r="F27" s="52"/>
      <c r="G27" s="53"/>
      <c r="H27" s="87"/>
      <c r="I27" s="90" t="str">
        <f t="shared" si="0"/>
        <v/>
      </c>
      <c r="J27" s="54"/>
      <c r="K27" s="50" t="str">
        <f t="shared" si="1"/>
        <v/>
      </c>
    </row>
    <row r="28" spans="1:11" s="51" customFormat="1" x14ac:dyDescent="0.25">
      <c r="A28" s="56"/>
      <c r="B28" s="52"/>
      <c r="C28" s="52"/>
      <c r="D28" s="52"/>
      <c r="E28" s="52"/>
      <c r="F28" s="52"/>
      <c r="G28" s="53"/>
      <c r="H28" s="87"/>
      <c r="I28" s="90" t="str">
        <f t="shared" si="0"/>
        <v/>
      </c>
      <c r="J28" s="54"/>
      <c r="K28" s="50" t="str">
        <f t="shared" si="1"/>
        <v/>
      </c>
    </row>
    <row r="29" spans="1:11" s="51" customFormat="1" x14ac:dyDescent="0.25">
      <c r="A29" s="52"/>
      <c r="B29" s="52"/>
      <c r="C29" s="52"/>
      <c r="D29" s="52"/>
      <c r="E29" s="52"/>
      <c r="F29" s="52"/>
      <c r="G29" s="53"/>
      <c r="H29" s="87"/>
      <c r="I29" s="90" t="str">
        <f t="shared" si="0"/>
        <v/>
      </c>
      <c r="J29" s="54"/>
      <c r="K29" s="50" t="str">
        <f t="shared" si="1"/>
        <v/>
      </c>
    </row>
    <row r="30" spans="1:11" s="51" customFormat="1" x14ac:dyDescent="0.25">
      <c r="A30" s="52"/>
      <c r="B30" s="52"/>
      <c r="C30" s="52"/>
      <c r="D30" s="52"/>
      <c r="E30" s="52"/>
      <c r="F30" s="52"/>
      <c r="G30" s="53"/>
      <c r="H30" s="87"/>
      <c r="I30" s="90" t="str">
        <f t="shared" si="0"/>
        <v/>
      </c>
      <c r="J30" s="54"/>
      <c r="K30" s="50" t="str">
        <f t="shared" si="1"/>
        <v/>
      </c>
    </row>
    <row r="31" spans="1:11" s="51" customFormat="1" x14ac:dyDescent="0.25">
      <c r="A31" s="56"/>
      <c r="B31" s="52"/>
      <c r="C31" s="52"/>
      <c r="D31" s="52"/>
      <c r="E31" s="52"/>
      <c r="F31" s="52"/>
      <c r="G31" s="53"/>
      <c r="H31" s="87"/>
      <c r="I31" s="90" t="str">
        <f t="shared" si="0"/>
        <v/>
      </c>
      <c r="J31" s="54"/>
      <c r="K31" s="50" t="str">
        <f t="shared" si="1"/>
        <v/>
      </c>
    </row>
    <row r="32" spans="1:11" s="51" customFormat="1" x14ac:dyDescent="0.25">
      <c r="A32" s="52"/>
      <c r="B32" s="52"/>
      <c r="C32" s="52"/>
      <c r="D32" s="52"/>
      <c r="E32" s="52"/>
      <c r="F32" s="52"/>
      <c r="G32" s="53"/>
      <c r="H32" s="87"/>
      <c r="I32" s="90" t="str">
        <f t="shared" si="0"/>
        <v/>
      </c>
      <c r="J32" s="54"/>
      <c r="K32" s="50" t="str">
        <f t="shared" si="1"/>
        <v/>
      </c>
    </row>
    <row r="33" spans="1:11" s="51" customFormat="1" x14ac:dyDescent="0.25">
      <c r="A33" s="56"/>
      <c r="B33" s="52"/>
      <c r="C33" s="52"/>
      <c r="D33" s="52"/>
      <c r="E33" s="52"/>
      <c r="F33" s="52"/>
      <c r="G33" s="53"/>
      <c r="H33" s="87"/>
      <c r="I33" s="90" t="str">
        <f t="shared" si="0"/>
        <v/>
      </c>
      <c r="J33" s="54"/>
      <c r="K33" s="50" t="str">
        <f t="shared" si="1"/>
        <v/>
      </c>
    </row>
    <row r="34" spans="1:11" s="51" customFormat="1" x14ac:dyDescent="0.25">
      <c r="A34" s="56"/>
      <c r="B34" s="52"/>
      <c r="C34" s="52"/>
      <c r="D34" s="52"/>
      <c r="E34" s="52"/>
      <c r="F34" s="52"/>
      <c r="G34" s="53"/>
      <c r="H34" s="87"/>
      <c r="I34" s="90" t="str">
        <f t="shared" si="0"/>
        <v/>
      </c>
      <c r="J34" s="54"/>
      <c r="K34" s="50" t="str">
        <f t="shared" si="1"/>
        <v/>
      </c>
    </row>
    <row r="35" spans="1:11" s="51" customFormat="1" x14ac:dyDescent="0.25">
      <c r="A35" s="52"/>
      <c r="B35" s="52"/>
      <c r="C35" s="52"/>
      <c r="D35" s="52"/>
      <c r="E35" s="52"/>
      <c r="F35" s="52"/>
      <c r="G35" s="53"/>
      <c r="H35" s="87"/>
      <c r="I35" s="90" t="str">
        <f t="shared" si="0"/>
        <v/>
      </c>
      <c r="J35" s="54"/>
      <c r="K35" s="50" t="str">
        <f t="shared" si="1"/>
        <v/>
      </c>
    </row>
    <row r="36" spans="1:11" s="51" customFormat="1" x14ac:dyDescent="0.25">
      <c r="A36" s="52"/>
      <c r="B36" s="52"/>
      <c r="C36" s="52"/>
      <c r="D36" s="52"/>
      <c r="E36" s="52"/>
      <c r="F36" s="52"/>
      <c r="G36" s="53"/>
      <c r="H36" s="87"/>
      <c r="I36" s="90" t="str">
        <f t="shared" si="0"/>
        <v/>
      </c>
      <c r="J36" s="54"/>
      <c r="K36" s="50" t="str">
        <f t="shared" si="1"/>
        <v/>
      </c>
    </row>
    <row r="37" spans="1:11" s="51" customFormat="1" x14ac:dyDescent="0.25">
      <c r="A37" s="52"/>
      <c r="B37" s="52"/>
      <c r="C37" s="52"/>
      <c r="D37" s="52"/>
      <c r="E37" s="52"/>
      <c r="F37" s="52"/>
      <c r="G37" s="53"/>
      <c r="H37" s="87"/>
      <c r="I37" s="90" t="str">
        <f t="shared" si="0"/>
        <v/>
      </c>
      <c r="J37" s="54"/>
      <c r="K37" s="50" t="str">
        <f t="shared" si="1"/>
        <v/>
      </c>
    </row>
    <row r="38" spans="1:11" s="51" customFormat="1" x14ac:dyDescent="0.25">
      <c r="A38" s="52"/>
      <c r="B38" s="52"/>
      <c r="C38" s="52"/>
      <c r="D38" s="52"/>
      <c r="E38" s="52"/>
      <c r="F38" s="52"/>
      <c r="G38" s="53"/>
      <c r="H38" s="87"/>
      <c r="I38" s="90" t="str">
        <f t="shared" si="0"/>
        <v/>
      </c>
      <c r="J38" s="54"/>
      <c r="K38" s="50" t="str">
        <f t="shared" si="1"/>
        <v/>
      </c>
    </row>
    <row r="39" spans="1:11" s="51" customFormat="1" x14ac:dyDescent="0.25">
      <c r="A39" s="52"/>
      <c r="B39" s="52"/>
      <c r="C39" s="52"/>
      <c r="D39" s="52"/>
      <c r="E39" s="52"/>
      <c r="F39" s="52"/>
      <c r="G39" s="53"/>
      <c r="H39" s="87"/>
      <c r="I39" s="90" t="str">
        <f t="shared" si="0"/>
        <v/>
      </c>
      <c r="J39" s="54"/>
      <c r="K39" s="50" t="str">
        <f t="shared" si="1"/>
        <v/>
      </c>
    </row>
    <row r="40" spans="1:11" s="51" customFormat="1" x14ac:dyDescent="0.25">
      <c r="A40" s="52"/>
      <c r="B40" s="52"/>
      <c r="C40" s="52"/>
      <c r="D40" s="52"/>
      <c r="E40" s="52"/>
      <c r="F40" s="52"/>
      <c r="G40" s="53"/>
      <c r="H40" s="87"/>
      <c r="I40" s="90" t="str">
        <f t="shared" si="0"/>
        <v/>
      </c>
      <c r="J40" s="54"/>
      <c r="K40" s="50" t="str">
        <f t="shared" si="1"/>
        <v/>
      </c>
    </row>
    <row r="41" spans="1:11" s="51" customFormat="1" x14ac:dyDescent="0.25">
      <c r="A41" s="52"/>
      <c r="B41" s="52"/>
      <c r="C41" s="52"/>
      <c r="D41" s="52"/>
      <c r="E41" s="52"/>
      <c r="F41" s="52"/>
      <c r="G41" s="53"/>
      <c r="H41" s="87"/>
      <c r="I41" s="90" t="str">
        <f t="shared" si="0"/>
        <v/>
      </c>
      <c r="J41" s="54"/>
      <c r="K41" s="50" t="str">
        <f t="shared" si="1"/>
        <v/>
      </c>
    </row>
    <row r="42" spans="1:11" s="51" customFormat="1" x14ac:dyDescent="0.25">
      <c r="A42" s="52"/>
      <c r="B42" s="52"/>
      <c r="C42" s="52"/>
      <c r="D42" s="52"/>
      <c r="E42" s="52"/>
      <c r="F42" s="52"/>
      <c r="G42" s="53"/>
      <c r="H42" s="87"/>
      <c r="I42" s="90" t="str">
        <f t="shared" si="0"/>
        <v/>
      </c>
      <c r="J42" s="54"/>
      <c r="K42" s="50" t="str">
        <f t="shared" si="1"/>
        <v/>
      </c>
    </row>
    <row r="43" spans="1:11" s="51" customFormat="1" x14ac:dyDescent="0.25">
      <c r="A43" s="52"/>
      <c r="B43" s="52"/>
      <c r="C43" s="52"/>
      <c r="D43" s="52"/>
      <c r="E43" s="52"/>
      <c r="F43" s="52"/>
      <c r="G43" s="53"/>
      <c r="H43" s="87"/>
      <c r="I43" s="90" t="str">
        <f t="shared" si="0"/>
        <v/>
      </c>
      <c r="J43" s="54"/>
      <c r="K43" s="50" t="str">
        <f t="shared" si="1"/>
        <v/>
      </c>
    </row>
    <row r="44" spans="1:11" s="51" customFormat="1" x14ac:dyDescent="0.25">
      <c r="A44" s="52"/>
      <c r="B44" s="52"/>
      <c r="C44" s="52"/>
      <c r="D44" s="52"/>
      <c r="E44" s="52"/>
      <c r="F44" s="52"/>
      <c r="G44" s="53"/>
      <c r="H44" s="87"/>
      <c r="I44" s="90" t="str">
        <f t="shared" si="0"/>
        <v/>
      </c>
      <c r="J44" s="54"/>
      <c r="K44" s="50" t="str">
        <f t="shared" si="1"/>
        <v/>
      </c>
    </row>
    <row r="45" spans="1:11" s="51" customFormat="1" x14ac:dyDescent="0.25">
      <c r="A45" s="52"/>
      <c r="B45" s="52"/>
      <c r="C45" s="52"/>
      <c r="D45" s="52"/>
      <c r="E45" s="52"/>
      <c r="F45" s="52"/>
      <c r="G45" s="53"/>
      <c r="H45" s="87"/>
      <c r="I45" s="90" t="str">
        <f t="shared" si="0"/>
        <v/>
      </c>
      <c r="J45" s="54"/>
      <c r="K45" s="50" t="str">
        <f t="shared" si="1"/>
        <v/>
      </c>
    </row>
    <row r="46" spans="1:11" s="51" customFormat="1" x14ac:dyDescent="0.25">
      <c r="A46" s="52"/>
      <c r="B46" s="52"/>
      <c r="C46" s="52"/>
      <c r="D46" s="52"/>
      <c r="E46" s="52"/>
      <c r="F46" s="52"/>
      <c r="G46" s="53"/>
      <c r="H46" s="87"/>
      <c r="I46" s="90" t="str">
        <f t="shared" si="0"/>
        <v/>
      </c>
      <c r="J46" s="54"/>
      <c r="K46" s="50" t="str">
        <f t="shared" si="1"/>
        <v/>
      </c>
    </row>
    <row r="47" spans="1:11" s="51" customFormat="1" x14ac:dyDescent="0.25">
      <c r="A47" s="52"/>
      <c r="B47" s="52"/>
      <c r="C47" s="52"/>
      <c r="D47" s="52"/>
      <c r="E47" s="52"/>
      <c r="F47" s="52"/>
      <c r="G47" s="53"/>
      <c r="H47" s="87"/>
      <c r="I47" s="90" t="str">
        <f t="shared" si="0"/>
        <v/>
      </c>
      <c r="J47" s="54"/>
      <c r="K47" s="50" t="str">
        <f t="shared" si="1"/>
        <v/>
      </c>
    </row>
    <row r="48" spans="1:11" s="51" customFormat="1" x14ac:dyDescent="0.25">
      <c r="A48" s="48"/>
      <c r="B48" s="48"/>
      <c r="C48" s="48"/>
      <c r="D48" s="48"/>
      <c r="E48" s="48"/>
      <c r="F48" s="48"/>
      <c r="G48" s="53"/>
      <c r="H48" s="89"/>
      <c r="I48" s="90" t="str">
        <f t="shared" si="0"/>
        <v/>
      </c>
      <c r="J48" s="50"/>
      <c r="K48" s="50" t="str">
        <f t="shared" si="1"/>
        <v/>
      </c>
    </row>
    <row r="49" spans="1:11" s="51" customFormat="1" x14ac:dyDescent="0.25">
      <c r="A49" s="57"/>
      <c r="B49" s="57"/>
      <c r="C49" s="57"/>
      <c r="D49" s="58" t="s">
        <v>26</v>
      </c>
      <c r="E49" s="58"/>
      <c r="F49" s="58"/>
      <c r="G49" s="59"/>
      <c r="H49" s="86"/>
      <c r="I49" s="86">
        <f>SUM(I11:I48)</f>
        <v>0</v>
      </c>
      <c r="J49" s="60"/>
      <c r="K49" s="61"/>
    </row>
    <row r="50" spans="1:11" s="57" customFormat="1" x14ac:dyDescent="0.25">
      <c r="A50" s="51"/>
      <c r="B50" s="51"/>
      <c r="C50" s="51"/>
      <c r="D50" s="62" t="s">
        <v>27</v>
      </c>
      <c r="E50" s="62"/>
      <c r="F50" s="62"/>
      <c r="G50" s="63"/>
      <c r="H50" s="91"/>
      <c r="I50" s="87">
        <f>IFERROR(-H50*I49,"")</f>
        <v>0</v>
      </c>
      <c r="J50" s="64"/>
      <c r="K50" s="65"/>
    </row>
    <row r="51" spans="1:11" s="55" customFormat="1" x14ac:dyDescent="0.25">
      <c r="A51" s="51"/>
      <c r="B51" s="51"/>
      <c r="C51" s="51"/>
      <c r="D51" s="44" t="s">
        <v>18</v>
      </c>
      <c r="E51" s="44"/>
      <c r="F51" s="44"/>
      <c r="G51" s="45"/>
      <c r="H51" s="88"/>
      <c r="I51" s="88">
        <f>SUM(I49:I50)</f>
        <v>0</v>
      </c>
      <c r="J51" s="27"/>
      <c r="K51" s="27">
        <f>SUM(K11:K48)</f>
        <v>0</v>
      </c>
    </row>
    <row r="54" spans="1:11" x14ac:dyDescent="0.25">
      <c r="A54" s="66" t="str">
        <f>"TERMS AND CONDITIONS FOR PO # " &amp; $E$3</f>
        <v xml:space="preserve">TERMS AND CONDITIONS FOR PO # </v>
      </c>
      <c r="H54" s="67"/>
    </row>
    <row r="55" spans="1:11" x14ac:dyDescent="0.25">
      <c r="A55" s="66"/>
      <c r="H55" s="67"/>
    </row>
    <row r="56" spans="1:11" x14ac:dyDescent="0.25">
      <c r="A56" s="29" t="s">
        <v>96</v>
      </c>
    </row>
    <row r="58" spans="1:11" x14ac:dyDescent="0.25">
      <c r="A58" s="107" t="s">
        <v>97</v>
      </c>
      <c r="B58" s="85" t="s">
        <v>98</v>
      </c>
    </row>
    <row r="59" spans="1:11" x14ac:dyDescent="0.25">
      <c r="A59" s="67"/>
    </row>
    <row r="60" spans="1:11" x14ac:dyDescent="0.25">
      <c r="A60" s="107" t="s">
        <v>99</v>
      </c>
      <c r="B60" s="85" t="s">
        <v>105</v>
      </c>
    </row>
    <row r="61" spans="1:11" x14ac:dyDescent="0.25">
      <c r="A61" s="107"/>
      <c r="B61" s="85" t="s">
        <v>100</v>
      </c>
    </row>
    <row r="62" spans="1:11" x14ac:dyDescent="0.25">
      <c r="A62" s="107"/>
    </row>
    <row r="63" spans="1:11" x14ac:dyDescent="0.25">
      <c r="A63" s="107" t="s">
        <v>102</v>
      </c>
      <c r="B63" s="108" t="s">
        <v>103</v>
      </c>
      <c r="C63" s="68"/>
    </row>
    <row r="64" spans="1:11" x14ac:dyDescent="0.25">
      <c r="A64" s="107"/>
    </row>
    <row r="65" spans="1:3" x14ac:dyDescent="0.25">
      <c r="A65" s="107" t="s">
        <v>107</v>
      </c>
      <c r="B65" s="108" t="s">
        <v>104</v>
      </c>
      <c r="C65" s="69"/>
    </row>
    <row r="66" spans="1:3" x14ac:dyDescent="0.25">
      <c r="A66" s="67"/>
      <c r="B66" s="69"/>
      <c r="C66" s="69"/>
    </row>
    <row r="67" spans="1:3" x14ac:dyDescent="0.25">
      <c r="A67" s="107" t="s">
        <v>106</v>
      </c>
      <c r="B67" s="110" t="s">
        <v>108</v>
      </c>
      <c r="C67" s="69"/>
    </row>
    <row r="68" spans="1:3" x14ac:dyDescent="0.25">
      <c r="A68" s="67"/>
      <c r="B68" s="110" t="s">
        <v>109</v>
      </c>
      <c r="C68" s="69"/>
    </row>
    <row r="69" spans="1:3" x14ac:dyDescent="0.25">
      <c r="A69" s="67"/>
      <c r="B69" s="69"/>
      <c r="C69" s="69"/>
    </row>
    <row r="70" spans="1:3" x14ac:dyDescent="0.25">
      <c r="A70" s="107" t="s">
        <v>110</v>
      </c>
      <c r="B70" s="110" t="s">
        <v>111</v>
      </c>
      <c r="C70" s="69"/>
    </row>
    <row r="71" spans="1:3" x14ac:dyDescent="0.25">
      <c r="A71" s="69"/>
      <c r="B71" s="108" t="s">
        <v>112</v>
      </c>
      <c r="C71" s="68"/>
    </row>
    <row r="72" spans="1:3" x14ac:dyDescent="0.25">
      <c r="A72" s="67"/>
      <c r="B72" s="68"/>
      <c r="C72" s="68"/>
    </row>
    <row r="73" spans="1:3" x14ac:dyDescent="0.25">
      <c r="A73" s="107" t="s">
        <v>113</v>
      </c>
      <c r="B73" s="108" t="s">
        <v>114</v>
      </c>
      <c r="C73" s="68"/>
    </row>
    <row r="74" spans="1:3" x14ac:dyDescent="0.25">
      <c r="A74" s="69"/>
      <c r="B74" s="108" t="s">
        <v>115</v>
      </c>
      <c r="C74" s="68"/>
    </row>
    <row r="75" spans="1:3" x14ac:dyDescent="0.25">
      <c r="A75" s="67"/>
      <c r="B75" s="68"/>
      <c r="C75" s="68"/>
    </row>
    <row r="76" spans="1:3" x14ac:dyDescent="0.25">
      <c r="A76" s="111" t="s">
        <v>116</v>
      </c>
      <c r="B76" s="109" t="s">
        <v>117</v>
      </c>
      <c r="C76" s="68"/>
    </row>
    <row r="77" spans="1:3" x14ac:dyDescent="0.25">
      <c r="A77" s="67"/>
      <c r="B77" s="109" t="s">
        <v>118</v>
      </c>
      <c r="C77" s="68"/>
    </row>
    <row r="78" spans="1:3" x14ac:dyDescent="0.25">
      <c r="A78" s="67"/>
      <c r="C78" s="68"/>
    </row>
    <row r="79" spans="1:3" x14ac:dyDescent="0.25">
      <c r="A79" s="112" t="s">
        <v>119</v>
      </c>
      <c r="B79" s="113" t="s">
        <v>121</v>
      </c>
      <c r="C79" s="68"/>
    </row>
    <row r="80" spans="1:3" x14ac:dyDescent="0.25">
      <c r="A80" s="114"/>
      <c r="B80" s="115"/>
      <c r="C80" s="68"/>
    </row>
    <row r="81" spans="1:3" x14ac:dyDescent="0.25">
      <c r="A81" s="112" t="s">
        <v>120</v>
      </c>
      <c r="B81" s="113" t="s">
        <v>122</v>
      </c>
      <c r="C81" s="68"/>
    </row>
    <row r="82" spans="1:3" x14ac:dyDescent="0.25">
      <c r="B82" s="68"/>
      <c r="C82" s="68"/>
    </row>
    <row r="84" spans="1:3" x14ac:dyDescent="0.25">
      <c r="A84" s="67"/>
    </row>
    <row r="85" spans="1:3" x14ac:dyDescent="0.25">
      <c r="A85" s="67"/>
    </row>
    <row r="86" spans="1:3" x14ac:dyDescent="0.25">
      <c r="A86" s="67"/>
    </row>
  </sheetData>
  <mergeCells count="1">
    <mergeCell ref="A1:I1"/>
  </mergeCells>
  <conditionalFormatting sqref="E3">
    <cfRule type="expression" dxfId="3" priority="4">
      <formula>E3=""</formula>
    </cfRule>
  </conditionalFormatting>
  <conditionalFormatting sqref="E4:E5">
    <cfRule type="expression" dxfId="2" priority="3">
      <formula>E4=""</formula>
    </cfRule>
  </conditionalFormatting>
  <conditionalFormatting sqref="I3">
    <cfRule type="expression" dxfId="1" priority="2">
      <formula>I3=""</formula>
    </cfRule>
  </conditionalFormatting>
  <conditionalFormatting sqref="E6">
    <cfRule type="expression" dxfId="0" priority="1">
      <formula>AND(E6="",D6&lt;&gt;"")</formula>
    </cfRule>
  </conditionalFormatting>
  <printOptions horizontalCentered="1"/>
  <pageMargins left="0.2" right="0.2" top="1.25" bottom="0.25" header="0.3" footer="0.3"/>
  <pageSetup scale="84" orientation="portrait" r:id="rId1"/>
  <headerFooter>
    <oddHeader>&amp;C&amp;"Arial,Bold"
&amp;14EXPORT HOME FURNISHINGS, INC.&amp;"Arial,Regular"&amp;12
3635 PEACHTREE INDUSTRIAL BLVD SUITE  700 
TEL: (678) 646 0476 - FAX: (678) 646 0482</oddHeader>
    <oddFooter>Page &amp;P of &amp;N</oddFooter>
  </headerFooter>
  <rowBreaks count="1" manualBreakCount="1">
    <brk id="52" max="8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" r:id="rId4" name="Button 4">
              <controlPr defaultSize="0" print="0" autoFill="0" autoPict="0" macro="[0]!SaveAsPDF_Click">
                <anchor moveWithCells="1" sizeWithCells="1">
                  <from>
                    <xdr:col>12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intPage_Click">
                <anchor moveWithCells="1" sizeWithCells="1">
                  <from>
                    <xdr:col>12</xdr:col>
                    <xdr:colOff>9525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EmailFactory_Click">
                <anchor moveWithCells="1" sizeWithCells="1">
                  <from>
                    <xdr:col>12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E45"/>
  <sheetViews>
    <sheetView showGridLines="0" view="pageBreakPreview" zoomScaleNormal="100" zoomScaleSheetLayoutView="100" workbookViewId="0">
      <selection activeCell="A12" sqref="A12"/>
    </sheetView>
  </sheetViews>
  <sheetFormatPr defaultColWidth="10.75" defaultRowHeight="18.75" x14ac:dyDescent="0.3"/>
  <cols>
    <col min="1" max="1" width="15.125" style="70" customWidth="1"/>
    <col min="2" max="2" width="6.25" style="70" customWidth="1"/>
    <col min="3" max="3" width="15.25" style="70" bestFit="1" customWidth="1"/>
    <col min="4" max="4" width="6.25" style="70" customWidth="1"/>
    <col min="5" max="5" width="3.75" style="70" customWidth="1"/>
    <col min="6" max="6" width="11.25" style="70" customWidth="1"/>
    <col min="7" max="7" width="6.25" style="70" customWidth="1"/>
    <col min="8" max="8" width="10.75" style="70" customWidth="1"/>
    <col min="9" max="9" width="5.625" style="70" customWidth="1"/>
    <col min="10" max="10" width="2.5" style="70" bestFit="1" customWidth="1"/>
    <col min="11" max="11" width="11.125" style="70" customWidth="1"/>
    <col min="12" max="13" width="10.75" style="70"/>
    <col min="14" max="15" width="10.75" style="72"/>
    <col min="16" max="31" width="10.75" style="71"/>
    <col min="32" max="16384" width="10.75" style="70"/>
  </cols>
  <sheetData>
    <row r="1" spans="1:11" ht="23.25" x14ac:dyDescent="0.35">
      <c r="A1" s="81" t="s">
        <v>75</v>
      </c>
      <c r="B1" s="81"/>
      <c r="C1" s="81"/>
      <c r="D1" s="81"/>
      <c r="E1" s="81"/>
    </row>
    <row r="2" spans="1:11" ht="19.350000000000001" customHeight="1" x14ac:dyDescent="0.3"/>
    <row r="3" spans="1:11" ht="19.350000000000001" customHeight="1" x14ac:dyDescent="0.3">
      <c r="A3" s="77" t="s">
        <v>74</v>
      </c>
      <c r="B3" s="78"/>
      <c r="C3" s="78"/>
      <c r="D3" s="78"/>
      <c r="E3" s="70" t="s">
        <v>126</v>
      </c>
      <c r="F3" s="77" t="s">
        <v>73</v>
      </c>
      <c r="G3" s="78"/>
      <c r="H3" s="74"/>
      <c r="I3" s="70" t="s">
        <v>72</v>
      </c>
      <c r="J3" s="74" t="str">
        <f>IF(PO!I3&lt;&gt;"",PO!I3,"")</f>
        <v/>
      </c>
      <c r="K3" s="74"/>
    </row>
    <row r="4" spans="1:11" ht="19.350000000000001" customHeight="1" x14ac:dyDescent="0.3">
      <c r="A4" s="77" t="s">
        <v>71</v>
      </c>
      <c r="B4" s="79"/>
      <c r="C4" s="79"/>
      <c r="D4" s="79"/>
      <c r="E4" s="70" t="s">
        <v>126</v>
      </c>
      <c r="F4" s="77" t="s">
        <v>70</v>
      </c>
      <c r="G4" s="77"/>
      <c r="H4" s="74"/>
      <c r="I4" s="74"/>
      <c r="J4" s="74"/>
      <c r="K4" s="74"/>
    </row>
    <row r="5" spans="1:11" ht="19.350000000000001" customHeight="1" x14ac:dyDescent="0.3">
      <c r="A5" s="77" t="s">
        <v>69</v>
      </c>
      <c r="B5" s="79"/>
      <c r="C5" s="79"/>
      <c r="D5" s="80"/>
      <c r="E5" s="70" t="s">
        <v>126</v>
      </c>
      <c r="F5" s="77" t="s">
        <v>81</v>
      </c>
      <c r="G5" s="78"/>
      <c r="H5" s="74"/>
      <c r="I5" s="74"/>
      <c r="J5" s="74"/>
      <c r="K5" s="74"/>
    </row>
    <row r="6" spans="1:11" ht="19.350000000000001" customHeight="1" x14ac:dyDescent="0.3">
      <c r="A6" s="77" t="s">
        <v>68</v>
      </c>
      <c r="B6" s="79"/>
      <c r="C6" s="79"/>
      <c r="D6" s="79"/>
      <c r="E6" s="70" t="s">
        <v>126</v>
      </c>
      <c r="F6" s="77" t="s">
        <v>80</v>
      </c>
      <c r="G6" s="77"/>
      <c r="H6" s="74"/>
      <c r="I6" s="74"/>
      <c r="J6" s="74"/>
      <c r="K6" s="74"/>
    </row>
    <row r="7" spans="1:11" ht="19.350000000000001" customHeight="1" x14ac:dyDescent="0.3">
      <c r="A7" s="77" t="s">
        <v>66</v>
      </c>
      <c r="B7" s="78"/>
      <c r="C7" s="78"/>
      <c r="D7" s="78"/>
      <c r="E7" s="70" t="s">
        <v>126</v>
      </c>
      <c r="F7" s="77" t="s">
        <v>79</v>
      </c>
      <c r="G7" s="78"/>
      <c r="H7" s="74"/>
      <c r="I7" s="70" t="s">
        <v>67</v>
      </c>
      <c r="J7" s="74"/>
      <c r="K7" s="74"/>
    </row>
    <row r="8" spans="1:11" ht="19.350000000000001" customHeight="1" x14ac:dyDescent="0.3">
      <c r="A8" s="77" t="s">
        <v>76</v>
      </c>
      <c r="B8" s="78"/>
      <c r="C8" s="78"/>
      <c r="D8" s="78"/>
      <c r="E8" s="70" t="s">
        <v>126</v>
      </c>
      <c r="F8" s="77" t="s">
        <v>78</v>
      </c>
      <c r="G8" s="78"/>
      <c r="H8" s="74"/>
      <c r="I8" s="70" t="s">
        <v>65</v>
      </c>
      <c r="J8" s="74"/>
      <c r="K8" s="74"/>
    </row>
    <row r="9" spans="1:11" ht="19.350000000000001" customHeight="1" x14ac:dyDescent="0.3">
      <c r="A9" s="77" t="s">
        <v>77</v>
      </c>
      <c r="B9" s="78"/>
      <c r="C9" s="78"/>
      <c r="D9" s="78"/>
      <c r="E9" s="70" t="s">
        <v>126</v>
      </c>
      <c r="F9" s="77" t="s">
        <v>64</v>
      </c>
      <c r="G9" s="78"/>
      <c r="H9" s="74"/>
      <c r="I9" s="74"/>
      <c r="J9" s="74"/>
      <c r="K9" s="74"/>
    </row>
    <row r="10" spans="1:11" ht="19.350000000000001" customHeight="1" x14ac:dyDescent="0.3">
      <c r="A10" s="77"/>
      <c r="B10" s="76"/>
      <c r="C10" s="76"/>
      <c r="D10" s="76"/>
      <c r="F10" s="77"/>
      <c r="G10" s="76"/>
      <c r="H10" s="75"/>
      <c r="I10" s="75"/>
      <c r="J10" s="75"/>
      <c r="K10" s="75"/>
    </row>
    <row r="11" spans="1:11" ht="19.350000000000001" customHeight="1" x14ac:dyDescent="0.3"/>
    <row r="12" spans="1:11" ht="19.350000000000001" customHeight="1" x14ac:dyDescent="0.35">
      <c r="A12" s="116" t="s">
        <v>63</v>
      </c>
      <c r="B12" s="116"/>
      <c r="C12" s="116"/>
      <c r="D12" s="116"/>
      <c r="E12" s="117"/>
      <c r="F12" s="117"/>
      <c r="G12" s="117"/>
      <c r="H12" s="117"/>
      <c r="I12" s="117"/>
      <c r="J12" s="117"/>
      <c r="K12" s="117"/>
    </row>
    <row r="13" spans="1:11" ht="19.350000000000001" customHeight="1" x14ac:dyDescent="0.3">
      <c r="A13" s="117" t="s">
        <v>62</v>
      </c>
      <c r="B13" s="117"/>
      <c r="C13" s="118" t="s">
        <v>47</v>
      </c>
      <c r="D13" s="118"/>
      <c r="E13" s="117"/>
      <c r="F13" s="117" t="s">
        <v>58</v>
      </c>
      <c r="G13" s="118"/>
      <c r="H13" s="118"/>
      <c r="I13" s="118"/>
      <c r="J13" s="118"/>
      <c r="K13" s="118"/>
    </row>
    <row r="14" spans="1:11" ht="19.350000000000001" customHeight="1" x14ac:dyDescent="0.3">
      <c r="A14" s="117" t="s">
        <v>61</v>
      </c>
      <c r="B14" s="117"/>
      <c r="C14" s="119" t="s">
        <v>47</v>
      </c>
      <c r="D14" s="119"/>
      <c r="E14" s="117"/>
      <c r="F14" s="117" t="s">
        <v>58</v>
      </c>
      <c r="G14" s="119"/>
      <c r="H14" s="119"/>
      <c r="I14" s="119"/>
      <c r="J14" s="118"/>
      <c r="K14" s="118"/>
    </row>
    <row r="15" spans="1:11" ht="19.350000000000001" customHeight="1" x14ac:dyDescent="0.3">
      <c r="A15" s="117" t="s">
        <v>60</v>
      </c>
      <c r="B15" s="117"/>
      <c r="C15" s="119" t="s">
        <v>47</v>
      </c>
      <c r="D15" s="119"/>
      <c r="E15" s="117"/>
      <c r="F15" s="117" t="s">
        <v>58</v>
      </c>
      <c r="G15" s="119"/>
      <c r="H15" s="119"/>
      <c r="I15" s="119"/>
      <c r="J15" s="118"/>
      <c r="K15" s="118"/>
    </row>
    <row r="16" spans="1:11" ht="19.350000000000001" customHeight="1" x14ac:dyDescent="0.3">
      <c r="A16" s="117" t="s">
        <v>59</v>
      </c>
      <c r="B16" s="117"/>
      <c r="C16" s="118" t="s">
        <v>47</v>
      </c>
      <c r="D16" s="118"/>
      <c r="E16" s="117"/>
      <c r="F16" s="117" t="s">
        <v>58</v>
      </c>
      <c r="G16" s="118"/>
      <c r="H16" s="119"/>
      <c r="I16" s="119"/>
      <c r="J16" s="118"/>
      <c r="K16" s="118"/>
    </row>
    <row r="17" spans="1:11" ht="19.350000000000001" customHeight="1" x14ac:dyDescent="0.3">
      <c r="A17" s="117"/>
      <c r="B17" s="117"/>
      <c r="C17" s="117"/>
      <c r="D17" s="117"/>
      <c r="E17" s="117"/>
      <c r="F17" s="117"/>
      <c r="G17" s="117"/>
      <c r="H17" s="117"/>
      <c r="I17" s="117"/>
      <c r="J17" s="117"/>
      <c r="K17" s="117"/>
    </row>
    <row r="18" spans="1:11" ht="21" customHeight="1" x14ac:dyDescent="0.35">
      <c r="A18" s="116" t="s">
        <v>57</v>
      </c>
      <c r="B18" s="116"/>
      <c r="C18" s="116"/>
      <c r="D18" s="116"/>
      <c r="E18" s="117"/>
      <c r="F18" s="120"/>
      <c r="G18" s="118"/>
      <c r="H18" s="118"/>
      <c r="I18" s="118"/>
      <c r="J18" s="118"/>
      <c r="K18" s="118"/>
    </row>
    <row r="19" spans="1:11" ht="19.350000000000001" customHeight="1" x14ac:dyDescent="0.3">
      <c r="A19" s="117"/>
      <c r="B19" s="117"/>
      <c r="C19" s="117"/>
      <c r="D19" s="117"/>
      <c r="E19" s="117"/>
      <c r="F19" s="117"/>
      <c r="G19" s="117"/>
      <c r="H19" s="117"/>
      <c r="I19" s="117"/>
      <c r="J19" s="117"/>
      <c r="K19" s="117"/>
    </row>
    <row r="20" spans="1:11" ht="19.350000000000001" customHeight="1" x14ac:dyDescent="0.3">
      <c r="A20" s="121" t="s">
        <v>56</v>
      </c>
      <c r="B20" s="121"/>
      <c r="C20" s="121"/>
      <c r="D20" s="121"/>
      <c r="E20" s="117"/>
      <c r="F20" s="117"/>
      <c r="G20" s="117"/>
      <c r="H20" s="117"/>
      <c r="I20" s="117"/>
      <c r="J20" s="117"/>
      <c r="K20" s="117"/>
    </row>
    <row r="21" spans="1:11" ht="19.350000000000001" customHeight="1" x14ac:dyDescent="0.3">
      <c r="A21" s="117" t="s">
        <v>55</v>
      </c>
      <c r="B21" s="117"/>
      <c r="C21" s="118"/>
      <c r="D21" s="118"/>
      <c r="E21" s="117"/>
      <c r="F21" s="117" t="s">
        <v>50</v>
      </c>
      <c r="G21" s="118"/>
      <c r="H21" s="118"/>
      <c r="I21" s="118"/>
      <c r="J21" s="118"/>
      <c r="K21" s="118"/>
    </row>
    <row r="22" spans="1:11" ht="19.350000000000001" customHeight="1" x14ac:dyDescent="0.3">
      <c r="A22" s="117" t="s">
        <v>55</v>
      </c>
      <c r="B22" s="117"/>
      <c r="C22" s="119"/>
      <c r="D22" s="119"/>
      <c r="E22" s="117"/>
      <c r="F22" s="117" t="s">
        <v>50</v>
      </c>
      <c r="G22" s="119"/>
      <c r="H22" s="119"/>
      <c r="I22" s="119"/>
      <c r="J22" s="119"/>
      <c r="K22" s="119"/>
    </row>
    <row r="23" spans="1:11" ht="19.350000000000001" customHeight="1" x14ac:dyDescent="0.3">
      <c r="A23" s="117" t="s">
        <v>54</v>
      </c>
      <c r="B23" s="117"/>
      <c r="C23" s="119"/>
      <c r="D23" s="119"/>
      <c r="E23" s="117"/>
      <c r="F23" s="117" t="s">
        <v>50</v>
      </c>
      <c r="G23" s="119"/>
      <c r="H23" s="119"/>
      <c r="I23" s="119"/>
      <c r="J23" s="119"/>
      <c r="K23" s="119"/>
    </row>
    <row r="24" spans="1:11" ht="19.350000000000001" customHeight="1" x14ac:dyDescent="0.3">
      <c r="A24" s="117" t="s">
        <v>123</v>
      </c>
      <c r="B24" s="117"/>
      <c r="C24" s="119"/>
      <c r="D24" s="119"/>
      <c r="E24" s="117"/>
      <c r="F24" s="117" t="s">
        <v>50</v>
      </c>
      <c r="G24" s="119"/>
      <c r="H24" s="119"/>
      <c r="I24" s="119"/>
      <c r="J24" s="119"/>
      <c r="K24" s="119"/>
    </row>
    <row r="25" spans="1:11" ht="19.350000000000001" customHeight="1" x14ac:dyDescent="0.3">
      <c r="A25" s="117" t="s">
        <v>124</v>
      </c>
      <c r="B25" s="117"/>
      <c r="C25" s="119"/>
      <c r="D25" s="119"/>
      <c r="E25" s="117"/>
      <c r="F25" s="117" t="s">
        <v>50</v>
      </c>
      <c r="G25" s="119"/>
      <c r="H25" s="119"/>
      <c r="I25" s="119"/>
      <c r="J25" s="119"/>
      <c r="K25" s="119"/>
    </row>
    <row r="26" spans="1:11" ht="19.350000000000001" customHeight="1" x14ac:dyDescent="0.3">
      <c r="A26" s="117" t="s">
        <v>53</v>
      </c>
      <c r="B26" s="117"/>
      <c r="C26" s="119"/>
      <c r="D26" s="119"/>
      <c r="E26" s="117"/>
      <c r="F26" s="117" t="s">
        <v>50</v>
      </c>
      <c r="G26" s="119"/>
      <c r="H26" s="119"/>
      <c r="I26" s="119"/>
      <c r="J26" s="119"/>
      <c r="K26" s="119"/>
    </row>
    <row r="27" spans="1:11" ht="19.350000000000001" customHeight="1" x14ac:dyDescent="0.3">
      <c r="A27" s="117" t="s">
        <v>53</v>
      </c>
      <c r="B27" s="117"/>
      <c r="C27" s="119"/>
      <c r="D27" s="119"/>
      <c r="E27" s="117"/>
      <c r="F27" s="117" t="s">
        <v>50</v>
      </c>
      <c r="G27" s="119"/>
      <c r="H27" s="119"/>
      <c r="I27" s="119"/>
      <c r="J27" s="119"/>
      <c r="K27" s="119"/>
    </row>
    <row r="28" spans="1:11" ht="19.350000000000001" customHeight="1" x14ac:dyDescent="0.3">
      <c r="A28" s="117" t="s">
        <v>52</v>
      </c>
      <c r="B28" s="117"/>
      <c r="C28" s="119"/>
      <c r="D28" s="119"/>
      <c r="E28" s="117"/>
      <c r="F28" s="117" t="s">
        <v>50</v>
      </c>
      <c r="G28" s="119"/>
      <c r="H28" s="119"/>
      <c r="I28" s="119"/>
      <c r="J28" s="119"/>
      <c r="K28" s="119"/>
    </row>
    <row r="29" spans="1:11" ht="19.350000000000001" customHeight="1" x14ac:dyDescent="0.3">
      <c r="A29" s="117" t="s">
        <v>125</v>
      </c>
      <c r="B29" s="117"/>
      <c r="C29" s="119"/>
      <c r="D29" s="119"/>
      <c r="E29" s="117"/>
      <c r="F29" s="117" t="s">
        <v>50</v>
      </c>
      <c r="G29" s="119"/>
      <c r="H29" s="119"/>
      <c r="I29" s="119"/>
      <c r="J29" s="119"/>
      <c r="K29" s="119"/>
    </row>
    <row r="30" spans="1:11" ht="19.350000000000001" customHeight="1" x14ac:dyDescent="0.3">
      <c r="A30" s="117" t="s">
        <v>51</v>
      </c>
      <c r="B30" s="117"/>
      <c r="C30" s="119"/>
      <c r="D30" s="119"/>
      <c r="E30" s="117"/>
      <c r="F30" s="117" t="s">
        <v>50</v>
      </c>
      <c r="G30" s="119"/>
      <c r="H30" s="119"/>
      <c r="I30" s="119"/>
      <c r="J30" s="118"/>
      <c r="K30" s="118"/>
    </row>
    <row r="31" spans="1:11" ht="19.350000000000001" customHeight="1" x14ac:dyDescent="0.3">
      <c r="A31" s="117" t="s">
        <v>51</v>
      </c>
      <c r="B31" s="117"/>
      <c r="C31" s="119"/>
      <c r="D31" s="119"/>
      <c r="E31" s="117"/>
      <c r="F31" s="117" t="s">
        <v>50</v>
      </c>
      <c r="G31" s="119"/>
      <c r="H31" s="119"/>
      <c r="I31" s="119"/>
      <c r="J31" s="118"/>
      <c r="K31" s="118"/>
    </row>
    <row r="32" spans="1:11" ht="13.15" customHeight="1" x14ac:dyDescent="0.3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</row>
    <row r="33" spans="1:11" ht="13.15" customHeight="1" x14ac:dyDescent="0.3">
      <c r="A33" s="117"/>
      <c r="B33" s="117"/>
      <c r="C33" s="117"/>
      <c r="D33" s="117"/>
      <c r="E33" s="117"/>
      <c r="F33" s="117"/>
      <c r="G33" s="117"/>
      <c r="H33" s="117"/>
      <c r="I33" s="117"/>
      <c r="J33" s="117"/>
      <c r="K33" s="117"/>
    </row>
    <row r="34" spans="1:11" x14ac:dyDescent="0.3">
      <c r="A34" s="121" t="s">
        <v>49</v>
      </c>
      <c r="B34" s="117"/>
      <c r="C34" s="117"/>
      <c r="D34" s="117"/>
      <c r="E34" s="117"/>
      <c r="F34" s="120"/>
      <c r="G34" s="118" t="s">
        <v>47</v>
      </c>
      <c r="H34" s="118"/>
      <c r="I34" s="118"/>
      <c r="J34" s="118"/>
      <c r="K34" s="118"/>
    </row>
    <row r="35" spans="1:11" ht="24" customHeight="1" x14ac:dyDescent="0.3">
      <c r="A35" s="121" t="s">
        <v>48</v>
      </c>
      <c r="B35" s="117"/>
      <c r="C35" s="117"/>
      <c r="D35" s="117"/>
      <c r="E35" s="117"/>
      <c r="F35" s="120"/>
      <c r="G35" s="118" t="s">
        <v>47</v>
      </c>
      <c r="H35" s="118"/>
      <c r="I35" s="118"/>
      <c r="J35" s="118" t="s">
        <v>46</v>
      </c>
      <c r="K35" s="122"/>
    </row>
    <row r="36" spans="1:11" ht="9" customHeight="1" x14ac:dyDescent="0.3">
      <c r="A36" s="121"/>
      <c r="B36" s="117"/>
      <c r="C36" s="117"/>
      <c r="D36" s="117"/>
      <c r="E36" s="117"/>
      <c r="F36" s="117"/>
      <c r="G36" s="117"/>
      <c r="H36" s="117"/>
      <c r="I36" s="117"/>
      <c r="J36" s="117"/>
      <c r="K36" s="117"/>
    </row>
    <row r="37" spans="1:11" ht="9" customHeight="1" x14ac:dyDescent="0.3">
      <c r="A37" s="121"/>
      <c r="B37" s="117"/>
      <c r="C37" s="117"/>
      <c r="D37" s="117"/>
      <c r="E37" s="117"/>
      <c r="F37" s="117"/>
      <c r="G37" s="117"/>
      <c r="H37" s="117"/>
      <c r="I37" s="117"/>
      <c r="J37" s="117"/>
      <c r="K37" s="117"/>
    </row>
    <row r="38" spans="1:11" ht="9" customHeight="1" x14ac:dyDescent="0.3">
      <c r="A38" s="121"/>
      <c r="B38" s="117"/>
      <c r="C38" s="117"/>
      <c r="D38" s="117"/>
      <c r="E38" s="117"/>
      <c r="F38" s="117"/>
      <c r="G38" s="117"/>
      <c r="H38" s="117"/>
      <c r="I38" s="117"/>
      <c r="J38" s="117"/>
      <c r="K38" s="117"/>
    </row>
    <row r="39" spans="1:11" ht="19.350000000000001" customHeight="1" x14ac:dyDescent="0.3">
      <c r="A39" s="121" t="s">
        <v>45</v>
      </c>
      <c r="B39" s="118"/>
      <c r="C39" s="118"/>
      <c r="D39" s="118"/>
      <c r="E39" s="118"/>
      <c r="F39" s="118"/>
      <c r="G39" s="118"/>
      <c r="H39" s="118"/>
      <c r="I39" s="118"/>
      <c r="J39" s="118"/>
      <c r="K39" s="118"/>
    </row>
    <row r="40" spans="1:11" ht="19.350000000000001" customHeight="1" x14ac:dyDescent="0.3">
      <c r="A40" s="118"/>
      <c r="B40" s="119"/>
      <c r="C40" s="119"/>
      <c r="D40" s="119"/>
      <c r="E40" s="119"/>
      <c r="F40" s="119"/>
      <c r="G40" s="119"/>
      <c r="H40" s="119"/>
      <c r="I40" s="119"/>
      <c r="J40" s="119"/>
      <c r="K40" s="119"/>
    </row>
    <row r="41" spans="1:11" ht="19.350000000000001" customHeight="1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</row>
    <row r="42" spans="1:11" ht="19.350000000000001" customHeight="1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</row>
    <row r="43" spans="1:11" ht="19.350000000000001" customHeight="1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</row>
    <row r="44" spans="1:11" ht="19.350000000000001" customHeight="1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</row>
    <row r="45" spans="1:11" ht="19.350000000000001" customHeight="1" x14ac:dyDescent="0.3">
      <c r="A45" s="73"/>
      <c r="B45" s="73"/>
      <c r="C45" s="73"/>
      <c r="D45" s="73"/>
      <c r="E45" s="73"/>
      <c r="F45" s="73"/>
      <c r="G45" s="73"/>
    </row>
  </sheetData>
  <sheetProtection selectLockedCells="1"/>
  <pageMargins left="1.25" right="1.25" top="1.5" bottom="1" header="0.5" footer="0.5"/>
  <pageSetup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CC"/>
    <pageSetUpPr fitToPage="1"/>
  </sheetPr>
  <dimension ref="A1:D26"/>
  <sheetViews>
    <sheetView tabSelected="1" zoomScaleNormal="100" workbookViewId="0">
      <selection activeCell="D9" sqref="D9"/>
    </sheetView>
  </sheetViews>
  <sheetFormatPr defaultColWidth="8.25" defaultRowHeight="14.25" x14ac:dyDescent="0.2"/>
  <cols>
    <col min="1" max="1" width="9.125" style="93" customWidth="1"/>
    <col min="2" max="3" width="9.125" style="92" customWidth="1"/>
    <col min="4" max="4" width="44.75" style="92" customWidth="1"/>
    <col min="5" max="16384" width="8.25" style="92"/>
  </cols>
  <sheetData>
    <row r="1" spans="1:4" ht="15" thickBot="1" x14ac:dyDescent="0.25">
      <c r="A1" s="103"/>
      <c r="B1" s="102"/>
      <c r="C1" s="102"/>
      <c r="D1" s="102"/>
    </row>
    <row r="2" spans="1:4" x14ac:dyDescent="0.2">
      <c r="A2" s="124" t="s">
        <v>95</v>
      </c>
      <c r="B2" s="124"/>
      <c r="C2" s="124"/>
      <c r="D2" s="124"/>
    </row>
    <row r="3" spans="1:4" ht="15" thickBot="1" x14ac:dyDescent="0.25">
      <c r="A3" s="125"/>
      <c r="B3" s="125"/>
      <c r="C3" s="125"/>
      <c r="D3" s="125"/>
    </row>
    <row r="5" spans="1:4" ht="15" x14ac:dyDescent="0.2">
      <c r="A5" s="98" t="s">
        <v>3</v>
      </c>
      <c r="D5" s="101"/>
    </row>
    <row r="7" spans="1:4" ht="15" x14ac:dyDescent="0.2">
      <c r="A7" s="98" t="s">
        <v>94</v>
      </c>
      <c r="D7" s="92" t="s">
        <v>93</v>
      </c>
    </row>
    <row r="8" spans="1:4" x14ac:dyDescent="0.2">
      <c r="D8" s="92" t="s">
        <v>127</v>
      </c>
    </row>
    <row r="9" spans="1:4" x14ac:dyDescent="0.2">
      <c r="D9" s="92" t="s">
        <v>127</v>
      </c>
    </row>
    <row r="11" spans="1:4" ht="15" x14ac:dyDescent="0.2">
      <c r="A11" s="98" t="s">
        <v>1</v>
      </c>
      <c r="D11" s="97"/>
    </row>
    <row r="12" spans="1:4" s="99" customFormat="1" x14ac:dyDescent="0.2">
      <c r="A12" s="100"/>
    </row>
    <row r="13" spans="1:4" ht="15" x14ac:dyDescent="0.2">
      <c r="A13" s="98" t="s">
        <v>92</v>
      </c>
      <c r="D13" s="97"/>
    </row>
    <row r="15" spans="1:4" ht="15" x14ac:dyDescent="0.2">
      <c r="A15" s="98" t="s">
        <v>91</v>
      </c>
      <c r="D15" s="97"/>
    </row>
    <row r="17" spans="1:4" ht="15" x14ac:dyDescent="0.2">
      <c r="A17" s="98" t="s">
        <v>90</v>
      </c>
      <c r="D17" s="97"/>
    </row>
    <row r="18" spans="1:4" ht="15" x14ac:dyDescent="0.2">
      <c r="A18" s="98"/>
    </row>
    <row r="19" spans="1:4" ht="15" x14ac:dyDescent="0.2">
      <c r="A19" s="98" t="s">
        <v>89</v>
      </c>
    </row>
    <row r="21" spans="1:4" x14ac:dyDescent="0.2">
      <c r="B21" s="95" t="s">
        <v>88</v>
      </c>
      <c r="D21" s="97"/>
    </row>
    <row r="22" spans="1:4" x14ac:dyDescent="0.2">
      <c r="B22" s="95" t="s">
        <v>87</v>
      </c>
      <c r="D22" s="94"/>
    </row>
    <row r="23" spans="1:4" x14ac:dyDescent="0.2">
      <c r="B23" s="95" t="s">
        <v>86</v>
      </c>
      <c r="D23" s="94"/>
    </row>
    <row r="24" spans="1:4" x14ac:dyDescent="0.2">
      <c r="B24" s="95" t="s">
        <v>85</v>
      </c>
      <c r="D24" s="97"/>
    </row>
    <row r="25" spans="1:4" x14ac:dyDescent="0.2">
      <c r="B25" s="95" t="s">
        <v>84</v>
      </c>
      <c r="D25" s="96"/>
    </row>
    <row r="26" spans="1:4" x14ac:dyDescent="0.2">
      <c r="B26" s="95" t="s">
        <v>83</v>
      </c>
      <c r="D26" s="94"/>
    </row>
  </sheetData>
  <mergeCells count="1">
    <mergeCell ref="A2:D3"/>
  </mergeCells>
  <printOptions horizontalCentered="1"/>
  <pageMargins left="0.7" right="0.7" top="0.75" bottom="0.75" header="0.3" footer="0.3"/>
  <pageSetup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3:D15"/>
  <sheetViews>
    <sheetView showGridLines="0" workbookViewId="0">
      <selection activeCell="C4" sqref="C4"/>
    </sheetView>
  </sheetViews>
  <sheetFormatPr defaultColWidth="11" defaultRowHeight="15.75" x14ac:dyDescent="0.25"/>
  <sheetData>
    <row r="3" spans="3:4" x14ac:dyDescent="0.25">
      <c r="C3" t="s">
        <v>28</v>
      </c>
    </row>
    <row r="4" spans="3:4" x14ac:dyDescent="0.25">
      <c r="C4" t="s">
        <v>29</v>
      </c>
    </row>
    <row r="5" spans="3:4" x14ac:dyDescent="0.25">
      <c r="C5" t="s">
        <v>30</v>
      </c>
    </row>
    <row r="6" spans="3:4" x14ac:dyDescent="0.25">
      <c r="C6" t="s">
        <v>38</v>
      </c>
    </row>
    <row r="8" spans="3:4" x14ac:dyDescent="0.25">
      <c r="C8" t="s">
        <v>31</v>
      </c>
      <c r="D8" t="s">
        <v>39</v>
      </c>
    </row>
    <row r="9" spans="3:4" x14ac:dyDescent="0.25">
      <c r="C9" t="s">
        <v>32</v>
      </c>
    </row>
    <row r="10" spans="3:4" x14ac:dyDescent="0.25">
      <c r="C10" t="s">
        <v>33</v>
      </c>
      <c r="D10" t="s">
        <v>43</v>
      </c>
    </row>
    <row r="11" spans="3:4" x14ac:dyDescent="0.25">
      <c r="C11" t="s">
        <v>34</v>
      </c>
    </row>
    <row r="12" spans="3:4" x14ac:dyDescent="0.25">
      <c r="C12" t="s">
        <v>35</v>
      </c>
      <c r="D12" t="s">
        <v>40</v>
      </c>
    </row>
    <row r="13" spans="3:4" x14ac:dyDescent="0.25">
      <c r="C13" t="s">
        <v>36</v>
      </c>
    </row>
    <row r="14" spans="3:4" x14ac:dyDescent="0.25">
      <c r="C14" t="s">
        <v>37</v>
      </c>
      <c r="D14" t="s">
        <v>41</v>
      </c>
    </row>
    <row r="15" spans="3:4" x14ac:dyDescent="0.25">
      <c r="C15" t="s">
        <v>42</v>
      </c>
    </row>
  </sheetData>
  <sheetProtection algorithmName="SHA-512" hashValue="L1+8Y5kIbheQohuAtRTNqpfm4a5qDj1aIxOG/KzElo7lenTXL+vj0MjXLI1TrkDvstWQoFmtsj13F2+laG73PA==" saltValue="m8ZZcniCA4BF2HTYW7uRtw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PI</vt:lpstr>
      <vt:lpstr>PO</vt:lpstr>
      <vt:lpstr>CALC SHEET</vt:lpstr>
      <vt:lpstr>CO</vt:lpstr>
      <vt:lpstr>cAfterTotal</vt:lpstr>
      <vt:lpstr>container</vt:lpstr>
      <vt:lpstr>customerPO</vt:lpstr>
      <vt:lpstr>DeliveryTerms</vt:lpstr>
      <vt:lpstr>Factory</vt:lpstr>
      <vt:lpstr>PaymentTerms</vt:lpstr>
      <vt:lpstr>'CALC SHEET'!Print_Area</vt:lpstr>
      <vt:lpstr>CO!Print_Area</vt:lpstr>
      <vt:lpstr>PI!Print_Area</vt:lpstr>
      <vt:lpstr>PO!Print_Area</vt:lpstr>
      <vt:lpstr>PI!Print_Titles</vt:lpstr>
      <vt:lpstr>PO!Print_Titles</vt:lpstr>
      <vt:lpstr>SCWITHDATE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J Nercessian</dc:creator>
  <cp:lastModifiedBy>Patrick</cp:lastModifiedBy>
  <cp:lastPrinted>2018-08-20T13:16:03Z</cp:lastPrinted>
  <dcterms:created xsi:type="dcterms:W3CDTF">2018-04-01T22:29:07Z</dcterms:created>
  <dcterms:modified xsi:type="dcterms:W3CDTF">2018-12-03T01:14:04Z</dcterms:modified>
</cp:coreProperties>
</file>