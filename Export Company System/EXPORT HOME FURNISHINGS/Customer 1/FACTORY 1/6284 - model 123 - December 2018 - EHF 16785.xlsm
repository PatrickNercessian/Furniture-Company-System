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22E68647-3C60-695B-3CA0-4895CD717B8A}" lastEdited="7" lowestEdited="6" rupBuild="21029"/>
  <workbookPr codeName="ThisWorkbook" defaultThemeVersion="166925"/>
  <mc:AlternateContent>
    <mc:Choice Requires="x15">
      <x15ac:absPath xmlns:x15ac="http://schemas.microsoft.com/office/spreadsheetml/2010/11/ac" url="C:\Users\Patrick\Desktop\EHF GitHub\ADMIN\OTHER\maven\src\main\resources\file\"/>
    </mc:Choice>
  </mc:AlternateContent>
  <xr:revisionPtr documentId="13_ncr:1_{B520507A-DE8D-414F-A225-ED82D7175792}" revIDLastSave="0" xr10:uidLastSave="{00000000-0000-0000-0000-000000000000}" xr6:coauthVersionLast="40" xr6:coauthVersionMax="40"/>
  <bookViews>
    <workbookView activeTab="3" windowHeight="15630" windowWidth="25470" xWindow="0" xr2:uid="{00000000-000D-0000-FFFF-FFFF00000000}" yWindow="450"/>
  </bookViews>
  <sheets>
    <sheet name="PI" r:id="rId1" sheetId="1"/>
    <sheet name="PO" r:id="rId2" sheetId="2"/>
    <sheet name="CALC SHEET" r:id="rId3" sheetId="6"/>
    <sheet name="CO" r:id="rId4" sheetId="7"/>
    <sheet name="EMAIL TEMPLATE" r:id="rId5" sheetId="5" state="veryHidden"/>
    <sheet name="CC 12-02-2018 1" r:id="rId12" sheetId="8"/>
    <sheet name="PI BOOKING 12-02-2018" r:id="rId13" sheetId="9"/>
    <sheet name="CI-PL" r:id="rId14" sheetId="10"/>
  </sheets>
  <functionGroups builtInGroupCount="19"/>
  <externalReferences>
    <externalReference r:id="rId6"/>
  </externalReferences>
  <definedNames>
    <definedName name="AMOUNT">'[1]PI-CI-PL'!$E$24:$E$500</definedName>
    <definedName name="cAfterTotal">PO!$I$52</definedName>
    <definedName name="container">PI!$B$18</definedName>
    <definedName name="COUNTRYOFORIGIN">'[1]PI-CI-PL'!$L$24:$L$500</definedName>
    <definedName name="customerPO">PI!$B$14</definedName>
    <definedName name="DeliveryTerms">PI!$B$16</definedName>
    <definedName name="Discount">'[1]PI-CI-PL'!$P$2</definedName>
    <definedName name="Factory">PI!$B$15</definedName>
    <definedName name="HSCODES">'[1]PI-CI-PL'!$M$24:$M$500</definedName>
    <definedName name="LBS">'[1]PI-CI-PL'!$F$24:$F$500</definedName>
    <definedName name="PaymentTerms">PI!$B$17</definedName>
    <definedName localSheetId="2" name="_xlnm.Print_Area">'CALC SHEET'!$A$1:$K$43</definedName>
    <definedName localSheetId="3" name="_xlnm.Print_Area">CO!$A$1:$D$43</definedName>
    <definedName localSheetId="0" name="_xlnm.Print_Area">PI!$A$1:$J$52</definedName>
    <definedName localSheetId="1" name="_xlnm.Print_Area">PO!$A$1:$I$82</definedName>
    <definedName localSheetId="0" name="_xlnm.Print_Titles">PI!$A$25:$XFD$25</definedName>
    <definedName localSheetId="1" name="_xlnm.Print_Titles">PO!$10:$10</definedName>
    <definedName name="QTY">'[1]PI-CI-PL'!$C$24:$C$500</definedName>
    <definedName name="SCWITHDATE">PI!$B$13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J3"/>
  <c i="2" l="1" r="E5"/>
  <c i="2" l="1" r="K12"/>
  <c i="2" r="K13"/>
  <c i="2" r="K14"/>
  <c i="2" r="K15"/>
  <c i="2" r="K16"/>
  <c i="2" r="K17"/>
  <c i="2" r="K18"/>
  <c i="2" r="K19"/>
  <c i="2" r="K20"/>
  <c i="2" r="K21"/>
  <c i="2" r="K22"/>
  <c i="2" r="K23"/>
  <c i="2" r="K24"/>
  <c i="2" r="K25"/>
  <c i="2" r="K26"/>
  <c i="2" r="K27"/>
  <c i="2" r="K28"/>
  <c i="2" r="K29"/>
  <c i="2" r="K30"/>
  <c i="2" r="K31"/>
  <c i="2" r="K32"/>
  <c i="2" r="K33"/>
  <c i="2" r="K34"/>
  <c i="2" r="K35"/>
  <c i="2" r="K36"/>
  <c i="2" r="K37"/>
  <c i="2" r="K38"/>
  <c i="2" r="K39"/>
  <c i="2" r="K40"/>
  <c i="2" r="K41"/>
  <c i="2" r="K42"/>
  <c i="2" r="K43"/>
  <c i="2" r="K44"/>
  <c i="2" r="K45"/>
  <c i="2" r="K46"/>
  <c i="2" r="K47"/>
  <c i="2" r="K48"/>
  <c i="2" r="K11"/>
  <c i="2" l="1" r="I12"/>
  <c i="2" r="I13"/>
  <c i="2" r="I14"/>
  <c i="2" r="I15"/>
  <c i="2" r="I16"/>
  <c i="2" r="I17"/>
  <c i="2" r="I18"/>
  <c i="2" r="I19"/>
  <c i="2" r="I20"/>
  <c i="2" r="I21"/>
  <c i="2" r="I22"/>
  <c i="2" r="I23"/>
  <c i="2" r="I24"/>
  <c i="2" r="I25"/>
  <c i="2" r="I26"/>
  <c i="2" r="I27"/>
  <c i="2" r="I28"/>
  <c i="2" r="I29"/>
  <c i="2" r="I30"/>
  <c i="2" r="I31"/>
  <c i="2" r="I32"/>
  <c i="2" r="I33"/>
  <c i="2" r="I34"/>
  <c i="2" r="I35"/>
  <c i="2" r="I36"/>
  <c i="2" r="I37"/>
  <c i="2" r="I38"/>
  <c i="2" r="I39"/>
  <c i="2" r="I40"/>
  <c i="2" r="I41"/>
  <c i="2" r="I42"/>
  <c i="2" r="I43"/>
  <c i="2" r="I44"/>
  <c i="2" r="I45"/>
  <c i="2" r="I46"/>
  <c i="2" r="I47"/>
  <c i="2" r="I48"/>
  <c i="2" r="I11"/>
  <c i="2" l="1" r="I49"/>
  <c i="2" r="I50" s="1"/>
  <c i="2" r="A54"/>
  <c i="2" l="1" r="I51"/>
  <c i="2" r="K51"/>
</calcChain>
</file>

<file path=xl/sharedStrings.xml><?xml version="1.0" encoding="utf-8"?>
<sst xmlns="http://schemas.openxmlformats.org/spreadsheetml/2006/main" count="247" uniqueCount="168">
  <si>
    <t>SALES CONTRACT</t>
  </si>
  <si>
    <t>CONSIGNEE:</t>
  </si>
  <si>
    <t>NOTIFY:</t>
  </si>
  <si>
    <t>DATE:</t>
  </si>
  <si>
    <t>SALES CONTRACT:</t>
  </si>
  <si>
    <t>TAG OR PO#:</t>
  </si>
  <si>
    <t>FACTORY:</t>
  </si>
  <si>
    <t>DELIVERY TERMS:</t>
  </si>
  <si>
    <t>PAYMENT TERMS:</t>
  </si>
  <si>
    <t>CONTAINER:</t>
  </si>
  <si>
    <t>READY DATE:</t>
  </si>
  <si>
    <t>NOTES:</t>
  </si>
  <si>
    <t>MODEL</t>
  </si>
  <si>
    <t>DESCRIPTION</t>
  </si>
  <si>
    <t>FABRIC/COLOR</t>
  </si>
  <si>
    <t>QTY</t>
  </si>
  <si>
    <t>PRICE</t>
  </si>
  <si>
    <t>AMOUNT</t>
  </si>
  <si>
    <t>TOTAL:</t>
  </si>
  <si>
    <t>VENDOR:</t>
  </si>
  <si>
    <t>PO#:</t>
  </si>
  <si>
    <t>DELIVERY:</t>
  </si>
  <si>
    <t xml:space="preserve">PRICE  </t>
  </si>
  <si>
    <t xml:space="preserve">TOTAL </t>
  </si>
  <si>
    <t>UNITS</t>
  </si>
  <si>
    <t>TOTAL</t>
  </si>
  <si>
    <t>SUBTOTAL:</t>
  </si>
  <si>
    <t>DISCOUNT:</t>
  </si>
  <si>
    <t>TO:</t>
  </si>
  <si>
    <t>CC:</t>
  </si>
  <si>
    <t>BCC:</t>
  </si>
  <si>
    <t>LINE 1</t>
  </si>
  <si>
    <t>LINE 2</t>
  </si>
  <si>
    <t>LINE 3</t>
  </si>
  <si>
    <t>LINE 4</t>
  </si>
  <si>
    <t>LINE 5</t>
  </si>
  <si>
    <t>LINE 6</t>
  </si>
  <si>
    <t>LINE 7</t>
  </si>
  <si>
    <t>Subject:</t>
  </si>
  <si>
    <t>Dear ______,</t>
  </si>
  <si>
    <t>Could you please review and send us an order acknowledgement with ready date at your earliest convenience.</t>
  </si>
  <si>
    <t>Much appreciated,</t>
  </si>
  <si>
    <t>LINE 8</t>
  </si>
  <si>
    <t>Please find attached our purchase order and proceed accordingly.</t>
  </si>
  <si>
    <t>PURCHASE ORDER</t>
  </si>
  <si>
    <t>REMARKS:</t>
  </si>
  <si>
    <t>%</t>
  </si>
  <si>
    <t>$</t>
  </si>
  <si>
    <t>NET PROFIT:</t>
  </si>
  <si>
    <t>TOTAL CHARGES:</t>
  </si>
  <si>
    <t>DT. PAID:</t>
  </si>
  <si>
    <t>OTHER CHARGES:</t>
  </si>
  <si>
    <t>CREDIT MEMO:</t>
  </si>
  <si>
    <t>BANK CHARGES:</t>
  </si>
  <si>
    <t>FREIGHT:</t>
  </si>
  <si>
    <t>FACTORY INVOICE:</t>
  </si>
  <si>
    <t xml:space="preserve">LESS: </t>
  </si>
  <si>
    <t>TOTAL OUTGOING INVOICE:</t>
  </si>
  <si>
    <t>DT. RCVD:</t>
  </si>
  <si>
    <t>4) ADVANCE</t>
  </si>
  <si>
    <t>3) CASH VALUE</t>
  </si>
  <si>
    <t xml:space="preserve">2) DEBIT NOTE             </t>
  </si>
  <si>
    <t xml:space="preserve">1) LC/CAD VALUE         </t>
  </si>
  <si>
    <t>OUTGOING INVOICE:</t>
  </si>
  <si>
    <t xml:space="preserve">CNTR SIZE: </t>
  </si>
  <si>
    <t>ETA</t>
  </si>
  <si>
    <t>PORT OF DEST:</t>
  </si>
  <si>
    <t>ETD</t>
  </si>
  <si>
    <t>PMT TERMS:</t>
  </si>
  <si>
    <t>CL REF#:</t>
  </si>
  <si>
    <t>U.S. FACTORY:</t>
  </si>
  <si>
    <t>CUSTOMER:</t>
  </si>
  <si>
    <t>DATE</t>
  </si>
  <si>
    <t>PO#</t>
  </si>
  <si>
    <t>S/C #</t>
  </si>
  <si>
    <t>PRE/FINAL CALCULATION SHEET</t>
  </si>
  <si>
    <t>SHIP TERMS:</t>
  </si>
  <si>
    <t>REP/COUNTRY:</t>
  </si>
  <si>
    <t>VESSEL:</t>
  </si>
  <si>
    <t>LOAD DT:</t>
  </si>
  <si>
    <t>ORDER CONFIRM:</t>
  </si>
  <si>
    <t>MODEL:</t>
  </si>
  <si>
    <t>PORT OF DISCHARGE:</t>
  </si>
  <si>
    <t>TOTAL CTN:</t>
  </si>
  <si>
    <t>TOTAL WEIGHT:</t>
  </si>
  <si>
    <t>CONTAINER SIZE:</t>
  </si>
  <si>
    <t>SEAL #:</t>
  </si>
  <si>
    <t>CONTAINER #:</t>
  </si>
  <si>
    <t>INVOICE NUMBER:</t>
  </si>
  <si>
    <t>MARKS AND NUMBERS:</t>
  </si>
  <si>
    <t>COUNTRY OF DESTINATION:</t>
  </si>
  <si>
    <t>GOODS MADE IN:</t>
  </si>
  <si>
    <t>NOTIFY PARTY:</t>
  </si>
  <si>
    <t>EXPORT HOME FURNISHINGS, INC.</t>
  </si>
  <si>
    <t>EXPORTER:</t>
  </si>
  <si>
    <t>CERTIFICATE OF ORIGIN</t>
  </si>
  <si>
    <t>IF YOU CAN'T COMPLY WITH ANY OF THE BELOW PLEASE LET US KNOW IMMEDIATELY.</t>
  </si>
  <si>
    <t>1)</t>
  </si>
  <si>
    <t>THIS PURCHASE ORDER IS VALID FOR 90 DAYS AFTER BEING ISSUED.</t>
  </si>
  <si>
    <t>2)</t>
  </si>
  <si>
    <t>OUR WRITTEN APPROVAL. OUR CUSTOMER WILL ONLY PAY FOR COMPLETE SETS.</t>
  </si>
  <si>
    <t>PLEASE REVIEW THE "TERMS AND CONDITIONS" BELOW FOR IMPORTANT INFORMATION REGARDING THIS PURCHASE ORDER.</t>
  </si>
  <si>
    <t>3)</t>
  </si>
  <si>
    <t>ALL PACKAGES AND FURNITURE PIECES SHOULD HAVE THE COUNTRY OF ORIGIN CLEARLY LABELLED ("LAW LABEL").</t>
  </si>
  <si>
    <t>PLEASE USE STRONG SEA WORTHY PACKING IN ORDER TO PREVENT DAMAGES.</t>
  </si>
  <si>
    <t>LOAD IN COMPLETE SETS ONLY - NO CHANGES TO BE MADE TO QUANTITIES, MODELS , DESCRIPTION OR PRICING W/O</t>
  </si>
  <si>
    <t>5)</t>
  </si>
  <si>
    <t>4)</t>
  </si>
  <si>
    <t>ONCE WE MAKE A BOOKING NO CHANGES ARE TO BE MADE DIRECTLY WITH THE FORWARDER, TRUCKER OR</t>
  </si>
  <si>
    <t>SS LINE WITHOUT OUR APPROVAL.</t>
  </si>
  <si>
    <t>6)</t>
  </si>
  <si>
    <t>IF THE TRUCKER DOES NOT SHOW UP ON LOADING DATE/TIME PLEASE CONTACT EHF (AUDREY@EHFURNISHINGS.COM)</t>
  </si>
  <si>
    <t>IMMEDIATELY TO ADVISE US OF THE NO SHOW.</t>
  </si>
  <si>
    <t xml:space="preserve">7) </t>
  </si>
  <si>
    <t>TRUCKERS WILL ONLY ALLOW 2-HOURS FREE TIME FOR LOADING - DETENTION WILL INCUR AFTER THAT AND WILL BE</t>
  </si>
  <si>
    <t>CHARGED.</t>
  </si>
  <si>
    <t xml:space="preserve">8) </t>
  </si>
  <si>
    <t>UPON LOADING, PLEASE SEND US A COPY OF THE PACKING LIST, INVOICE, VGM FORM, CONTAINER NUMBER,</t>
  </si>
  <si>
    <t>SEAL NUMBER, TOTAL PIECE COUNT, TOTAL GROSS WEIGHT AND INCLUDE THE BOOKING NUMBER ON ALL DOCUMENTS.</t>
  </si>
  <si>
    <t>9)</t>
  </si>
  <si>
    <t>10)</t>
  </si>
  <si>
    <r>
      <t xml:space="preserve">DO NOT PUT ANY DOCUMENTS </t>
    </r>
    <r>
      <rPr>
        <b/>
        <u/>
        <sz val="12"/>
        <color rgb="FFFF0000"/>
        <rFont val="Calibri"/>
        <family val="2"/>
        <scheme val="minor"/>
      </rPr>
      <t>WITH PRICING</t>
    </r>
    <r>
      <rPr>
        <sz val="12"/>
        <color rgb="FFFF0000"/>
        <rFont val="Calibri"/>
        <family val="2"/>
        <scheme val="minor"/>
      </rPr>
      <t xml:space="preserve"> IN THE CONTAINER.</t>
    </r>
  </si>
  <si>
    <r>
      <t xml:space="preserve">DO NOT GIVE THE TRUCKER ANY DOCUMENTS </t>
    </r>
    <r>
      <rPr>
        <b/>
        <u/>
        <sz val="12"/>
        <color rgb="FFFF0000"/>
        <rFont val="Calibri"/>
        <family val="2"/>
        <scheme val="minor"/>
      </rPr>
      <t>WITH PRICING</t>
    </r>
    <r>
      <rPr>
        <sz val="12"/>
        <color rgb="FFFF0000"/>
        <rFont val="Calibri"/>
        <family val="2"/>
        <scheme val="minor"/>
      </rPr>
      <t xml:space="preserve"> .</t>
    </r>
  </si>
  <si>
    <t>FORWARDER FEE:</t>
  </si>
  <si>
    <t>INSURANCE COST:</t>
  </si>
  <si>
    <t>COMMISSION:</t>
  </si>
  <si>
    <t xml:space="preserve"> </t>
  </si>
  <si>
    <t>FAKE ADDRESS</t>
  </si>
  <si>
    <t>FACTORY 1</t>
  </si>
  <si>
    <t>12345 MAIN STREET</t>
  </si>
  <si>
    <t>HIGH POINT, NC 27265</t>
  </si>
  <si>
    <t>CONTACT:</t>
  </si>
  <si>
    <t>BILLIE</t>
  </si>
  <si>
    <t>Fake Consignee</t>
  </si>
  <si>
    <t>Fake Notify</t>
  </si>
  <si>
    <t>DIMENSIONS</t>
  </si>
  <si>
    <t>COUNTRY OF ORIGIN</t>
  </si>
  <si>
    <t>HTS CODES</t>
  </si>
  <si>
    <t>PC/CTN</t>
  </si>
  <si>
    <t>TOTAL
PC/CTN</t>
  </si>
  <si>
    <t>GOODS HAVE UNDETACHABLE MARKS/LABELS OR STAMPS INDICATING THE COUNTRY OF ORIGIN</t>
  </si>
  <si>
    <t>SHIPPING MARKS - AL OMAR FURNITURE TRADING COMPANY</t>
  </si>
  <si>
    <t>CAD BANK DETAILS: RIYADH BANK | TRADE FINANCE CENTER NEW AKARIA MALAZ - BLDG 4 NO 5402 | RIYADH, SAUDI ARABIA | TEL: +966 11 2917978</t>
  </si>
  <si>
    <t>DOCS NEEDED:</t>
  </si>
  <si>
    <t>1 ORIGINAL COMMERCIAL INVOICE CHAMBERIZED / 1 ORIGINAL PACKING LIST</t>
  </si>
  <si>
    <t>CERTIFICATE OF ORIGIN (CHAMBERIZED) AND CERTIFY NAME OF MANUFACTURER, COUNTRY OF ORIGIN</t>
  </si>
  <si>
    <t>BILL OF LADING - MUST MENTION PORT OF LOADING, PORT OF DISCHARGE AND PLACE OF DELIVERY</t>
  </si>
  <si>
    <t>PLEASE SEND COPY OF FULL SET OF DOCS TO BOBBY@ALOMAR.COM.SA FOR APPROVAL - SEND ORIGINALS TO BANK 24 HRS LATER IF NO COMMENTS</t>
  </si>
  <si>
    <t>DAMMAM | PLACE OF DELIVERY: RIYADH</t>
  </si>
  <si>
    <t>Example Sales Rep / SAUDI ARABIA</t>
  </si>
  <si>
    <t>6284 / December 2018</t>
  </si>
  <si>
    <t>C&amp;F RIYADH</t>
  </si>
  <si>
    <t>CAD AT SIGHT</t>
  </si>
  <si>
    <t>1XLTL</t>
  </si>
  <si>
    <t>12/02/2018</t>
  </si>
  <si>
    <t>Customer 1</t>
  </si>
  <si>
    <t>123</t>
  </si>
  <si>
    <t>fakeemail@factory.com</t>
  </si>
  <si>
    <t/>
  </si>
  <si>
    <t>Dear Billie,</t>
  </si>
  <si>
    <t>EHF 16785</t>
  </si>
  <si>
    <t>Please find attached our purchase order EHF 16785 and proceed accordingly.</t>
  </si>
  <si>
    <t>COMMERCIAL INVOICE / PACKING LIST</t>
  </si>
  <si>
    <t>SHIPMENT DATE:</t>
  </si>
  <si>
    <t>CONTAINER/TRAILER ID:</t>
  </si>
  <si>
    <t>SEAL NUMBER:</t>
  </si>
  <si>
    <t>TOTAL GROSS WEIGHT:</t>
  </si>
  <si>
    <t>TOTAL CARTONS: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</si>
</sst>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&quot;$&quot;#,##0.00"/>
    <numFmt numFmtId="166" formatCode="0\ &quot;lbs&quot;"/>
    <numFmt numFmtId="167" formatCode="[$-F800]dddd\,\ mmmm\ dd\,\ yyyy"/>
    <numFmt numFmtId="168" formatCode="$#,#0.00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name val="Calibri"/>
      <sz val="12.0"/>
      <color indexed="10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borderId="0" fillId="0" fontId="0" numFmtId="0"/>
    <xf borderId="0" fillId="0" fontId="2" numFmtId="0"/>
    <xf borderId="0" fillId="0" fontId="3" numFmtId="0"/>
    <xf applyAlignment="0" applyBorder="0" applyFill="0" applyFont="0" applyProtection="0" borderId="0" fillId="0" fontId="3" numFmtId="9"/>
    <xf borderId="0" fillId="0" fontId="1" numFmtId="0"/>
  </cellStyleXfs>
  <cellXfs count="128">
    <xf borderId="0" fillId="0" fontId="0" numFmtId="0" xfId="0"/>
    <xf applyFont="1" borderId="0" fillId="0" fontId="4" numFmtId="0" xfId="0"/>
    <xf applyAlignment="1" applyFont="1" borderId="0" fillId="0" fontId="4" numFmtId="0" xfId="0">
      <alignment vertical="center"/>
    </xf>
    <xf applyAlignment="1" applyBorder="1" applyFill="1" applyFont="1" applyNumberFormat="1" applyProtection="1" borderId="0" fillId="0" fontId="5" numFmtId="164" xfId="1">
      <alignment horizontal="left" vertical="center"/>
    </xf>
    <xf applyAlignment="1" applyFill="1" applyFont="1" applyProtection="1" borderId="0" fillId="0" fontId="5" numFmtId="0" xfId="1">
      <alignment horizontal="left" vertical="center"/>
    </xf>
    <xf applyAlignment="1" applyBorder="1" applyFill="1" applyFont="1" applyProtection="1" borderId="0" fillId="0" fontId="5" numFmtId="0" xfId="1">
      <alignment horizontal="left" vertical="center"/>
    </xf>
    <xf applyAlignment="1" applyBorder="1" applyFill="1" applyFont="1" applyProtection="1" borderId="1" fillId="2" fontId="5" numFmtId="0" xfId="1">
      <alignment horizontal="left" vertical="center"/>
    </xf>
    <xf applyAlignment="1" applyBorder="1" applyFill="1" applyFont="1" applyProtection="1" borderId="1" fillId="2" fontId="6" numFmtId="0" xfId="1">
      <alignment horizontal="left" vertical="center"/>
    </xf>
    <xf applyAlignment="1" applyBorder="1" applyFill="1" applyFont="1" applyProtection="1" borderId="1" fillId="2" fontId="5" numFmtId="0" xfId="1">
      <alignment horizontal="right" vertical="center"/>
    </xf>
    <xf applyAlignment="1" applyBorder="1" applyFill="1" applyFont="1" applyProtection="1" borderId="1" fillId="2" fontId="6" numFmtId="0" xfId="1">
      <alignment horizontal="center" vertical="center"/>
    </xf>
    <xf applyAlignment="1" applyBorder="1" applyFill="1" applyFont="1" applyProtection="1" borderId="1" fillId="2" fontId="5" numFmtId="0" xfId="1">
      <alignment horizontal="center" vertical="center"/>
    </xf>
    <xf applyAlignment="1" applyFont="1" borderId="0" fillId="0" fontId="4" numFmtId="0" xfId="0">
      <alignment horizontal="left" vertical="center"/>
    </xf>
    <xf applyAlignment="1" applyFont="1" borderId="0" fillId="0" fontId="4" numFmtId="0" xfId="0">
      <alignment horizontal="center" vertical="center"/>
    </xf>
    <xf applyAlignment="1" applyBorder="1" applyFill="1" applyFont="1" applyNumberFormat="1" applyProtection="1" borderId="1" fillId="2" fontId="5" numFmtId="4" xfId="1">
      <alignment vertical="center" wrapText="1"/>
    </xf>
    <xf applyAlignment="1" applyBorder="1" applyFill="1" applyFont="1" applyNumberFormat="1" applyProtection="1" borderId="1" fillId="2" fontId="5" numFmtId="4" xfId="1">
      <alignment horizontal="center" vertical="center" wrapText="1"/>
    </xf>
    <xf applyAlignment="1" applyBorder="1" applyFill="1" applyFont="1" applyNumberFormat="1" applyProtection="1" borderId="1" fillId="2" fontId="5" numFmtId="165" xfId="1">
      <alignment horizontal="right" vertical="center" wrapText="1"/>
    </xf>
    <xf applyAlignment="1" applyFont="1" borderId="0" fillId="0" fontId="4" numFmtId="0" xfId="0">
      <alignment horizontal="center"/>
    </xf>
    <xf applyAlignment="1" applyBorder="1" applyFill="1" applyFont="1" applyProtection="1" borderId="0" fillId="0" fontId="8" numFmtId="0" xfId="1">
      <alignment horizontal="left" vertical="center"/>
    </xf>
    <xf applyFont="1" applyNumberFormat="1" borderId="0" fillId="0" fontId="4" numFmtId="165" xfId="0"/>
    <xf applyAlignment="1" applyFont="1" applyNumberFormat="1" borderId="0" fillId="0" fontId="4" numFmtId="165" xfId="0">
      <alignment vertical="center"/>
    </xf>
    <xf applyAlignment="1" applyFill="1" applyFont="1" applyNumberFormat="1" applyProtection="1" borderId="0" fillId="0" fontId="5" numFmtId="165" xfId="1">
      <alignment horizontal="right" vertical="center"/>
    </xf>
    <xf applyAlignment="1" applyBorder="1" applyFill="1" applyFont="1" applyNumberFormat="1" applyProtection="1" borderId="1" fillId="2" fontId="5" numFmtId="165" xfId="1">
      <alignment horizontal="right" vertical="center"/>
    </xf>
    <xf applyAlignment="1" applyFont="1" applyNumberFormat="1" borderId="0" fillId="0" fontId="4" numFmtId="165" xfId="0">
      <alignment horizontal="right" vertical="center"/>
    </xf>
    <xf applyAlignment="1" applyFont="1" applyNumberFormat="1" borderId="0" fillId="0" fontId="4" numFmtId="165" xfId="0">
      <alignment horizontal="right"/>
    </xf>
    <xf applyAlignment="1" applyFont="1" applyNumberFormat="1" borderId="0" fillId="0" fontId="4" numFmtId="2" xfId="0">
      <alignment horizontal="right" vertical="center"/>
    </xf>
    <xf applyAlignment="1" applyFont="1" applyNumberFormat="1" borderId="0" fillId="0" fontId="7" numFmtId="2" xfId="0">
      <alignment horizontal="right" vertical="center" wrapText="1"/>
    </xf>
    <xf applyAlignment="1" applyFont="1" applyNumberFormat="1" borderId="0" fillId="0" fontId="7" numFmtId="2" xfId="0">
      <alignment horizontal="right" vertical="center"/>
    </xf>
    <xf applyAlignment="1" applyBorder="1" applyFill="1" applyFont="1" applyNumberFormat="1" applyProtection="1" borderId="1" fillId="2" fontId="7" numFmtId="2" xfId="2">
      <alignment horizontal="right" vertical="center"/>
      <protection locked="0"/>
    </xf>
    <xf applyAlignment="1" applyFont="1" applyProtection="1" borderId="0" fillId="0" fontId="7" numFmtId="0" xfId="2">
      <alignment vertical="center"/>
      <protection locked="0"/>
    </xf>
    <xf applyFont="1" applyProtection="1" borderId="0" fillId="0" fontId="7" numFmtId="0" xfId="2">
      <protection locked="0"/>
    </xf>
    <xf applyFont="1" applyProtection="1" borderId="0" fillId="0" fontId="4" numFmtId="0" xfId="2">
      <protection locked="0"/>
    </xf>
    <xf applyAlignment="1" applyFont="1" applyProtection="1" borderId="0" fillId="0" fontId="4" numFmtId="0" xfId="2">
      <alignment horizontal="center"/>
      <protection locked="0"/>
    </xf>
    <xf applyFont="1" applyNumberFormat="1" applyProtection="1" borderId="0" fillId="0" fontId="4" numFmtId="164" xfId="2">
      <protection locked="0"/>
    </xf>
    <xf applyAlignment="1" applyFont="1" applyNumberFormat="1" applyProtection="1" borderId="0" fillId="0" fontId="4" numFmtId="2" xfId="2">
      <alignment horizontal="right"/>
      <protection locked="0"/>
    </xf>
    <xf applyFont="1" applyProtection="1" borderId="0" fillId="0" fontId="7" numFmtId="0" xfId="2"/>
    <xf applyFill="1" applyFont="1" applyProtection="1" borderId="0" fillId="0" fontId="7" numFmtId="0" xfId="2"/>
    <xf applyAlignment="1" applyFill="1" applyFont="1" applyProtection="1" borderId="0" fillId="0" fontId="4" numFmtId="0" xfId="2">
      <alignment horizontal="left"/>
      <protection locked="0"/>
    </xf>
    <xf applyFill="1" applyFont="1" applyProtection="1" borderId="0" fillId="0" fontId="4" numFmtId="0" xfId="2">
      <protection locked="0"/>
    </xf>
    <xf applyAlignment="1" applyFill="1" applyFont="1" applyProtection="1" borderId="0" fillId="0" fontId="4" numFmtId="0" xfId="2">
      <protection locked="0"/>
    </xf>
    <xf applyAlignment="1" applyBorder="1" applyFont="1" applyProtection="1" borderId="0" fillId="0" fontId="9" numFmtId="0" xfId="2"/>
    <xf applyFont="1" applyProtection="1" borderId="0" fillId="0" fontId="4" numFmtId="0" xfId="2"/>
    <xf applyAlignment="1" applyBorder="1" applyFont="1" applyProtection="1" borderId="0" fillId="0" fontId="4" numFmtId="0" xfId="2">
      <alignment wrapText="1"/>
    </xf>
    <xf applyAlignment="1" applyFont="1" applyNumberFormat="1" applyProtection="1" borderId="0" fillId="0" fontId="4" numFmtId="2" xfId="2">
      <alignment horizontal="right"/>
    </xf>
    <xf applyAlignment="1" applyBorder="1" applyFill="1" applyFont="1" applyProtection="1" borderId="1" fillId="2" fontId="7" numFmtId="0" xfId="2">
      <alignment horizontal="left" vertical="center"/>
      <protection locked="0"/>
    </xf>
    <xf applyAlignment="1" applyBorder="1" applyFill="1" applyFont="1" applyProtection="1" borderId="1" fillId="2" fontId="7" numFmtId="0" xfId="2">
      <alignment vertical="center"/>
      <protection locked="0"/>
    </xf>
    <xf applyAlignment="1" applyBorder="1" applyFill="1" applyFont="1" applyProtection="1" borderId="1" fillId="2" fontId="7" numFmtId="0" xfId="2">
      <alignment horizontal="center" vertical="center"/>
      <protection locked="0"/>
    </xf>
    <xf applyAlignment="1" applyBorder="1" applyFill="1" applyFont="1" applyProtection="1" borderId="1" fillId="2" fontId="7" numFmtId="0" xfId="2">
      <alignment horizontal="right" vertical="center" wrapText="1"/>
      <protection locked="0"/>
    </xf>
    <xf applyAlignment="1" applyBorder="1" applyFill="1" applyFont="1" applyProtection="1" borderId="1" fillId="2" fontId="7" numFmtId="0" xfId="2">
      <alignment horizontal="right" vertical="center"/>
      <protection locked="0"/>
    </xf>
    <xf applyAlignment="1" applyFont="1" applyNumberFormat="1" applyProtection="1" borderId="0" fillId="0" fontId="4" numFmtId="0" xfId="2">
      <alignment horizontal="left" vertical="center"/>
    </xf>
    <xf applyAlignment="1" applyFont="1" applyProtection="1" borderId="0" fillId="0" fontId="4" numFmtId="0" xfId="2">
      <alignment horizontal="center" vertical="center"/>
    </xf>
    <xf applyAlignment="1" applyFont="1" applyNumberFormat="1" applyProtection="1" borderId="0" fillId="0" fontId="4" numFmtId="2" xfId="2">
      <alignment horizontal="right" vertical="center"/>
    </xf>
    <xf applyAlignment="1" applyFont="1" applyProtection="1" borderId="0" fillId="0" fontId="4" numFmtId="0" xfId="2">
      <alignment vertical="center"/>
      <protection locked="0"/>
    </xf>
    <xf applyAlignment="1" applyFont="1" applyNumberFormat="1" applyProtection="1" borderId="0" fillId="0" fontId="4" numFmtId="0" xfId="2">
      <alignment horizontal="left" vertical="center"/>
      <protection locked="0"/>
    </xf>
    <xf applyAlignment="1" applyFont="1" applyProtection="1" borderId="0" fillId="0" fontId="4" numFmtId="0" xfId="2">
      <alignment horizontal="center" vertical="center"/>
      <protection locked="0"/>
    </xf>
    <xf applyAlignment="1" applyFont="1" applyNumberFormat="1" applyProtection="1" borderId="0" fillId="0" fontId="4" numFmtId="2" xfId="2">
      <alignment horizontal="right" vertical="center"/>
      <protection locked="0"/>
    </xf>
    <xf applyAlignment="1" applyFont="1" applyProtection="1" borderId="0" fillId="0" fontId="4" numFmtId="0" xfId="2">
      <alignment vertical="center"/>
    </xf>
    <xf applyAlignment="1" applyFont="1" applyNumberFormat="1" applyProtection="1" borderId="0" fillId="0" fontId="7" numFmtId="0" xfId="2">
      <alignment horizontal="left" vertical="center"/>
      <protection locked="0"/>
    </xf>
    <xf applyAlignment="1" applyBorder="1" applyFont="1" applyProtection="1" borderId="0" fillId="0" fontId="4" numFmtId="0" xfId="2">
      <alignment vertical="center"/>
      <protection locked="0"/>
    </xf>
    <xf applyAlignment="1" applyBorder="1" applyFont="1" applyProtection="1" borderId="2" fillId="0" fontId="4" numFmtId="0" xfId="2">
      <alignment vertical="center"/>
      <protection locked="0"/>
    </xf>
    <xf applyAlignment="1" applyBorder="1" applyFont="1" applyProtection="1" borderId="2" fillId="0" fontId="4" numFmtId="0" xfId="2">
      <alignment horizontal="center" vertical="center"/>
      <protection locked="0"/>
    </xf>
    <xf applyAlignment="1" applyBorder="1" applyFont="1" applyNumberFormat="1" applyProtection="1" borderId="2" fillId="0" fontId="4" numFmtId="2" xfId="2">
      <alignment horizontal="right" vertical="center"/>
      <protection locked="0"/>
    </xf>
    <xf applyAlignment="1" applyBorder="1" applyFont="1" applyNumberFormat="1" applyProtection="1" borderId="2" fillId="0" fontId="7" numFmtId="2" xfId="2">
      <alignment vertical="center"/>
      <protection locked="0"/>
    </xf>
    <xf applyAlignment="1" applyBorder="1" applyFont="1" applyProtection="1" borderId="3" fillId="0" fontId="4" numFmtId="0" xfId="2">
      <alignment vertical="center"/>
      <protection locked="0"/>
    </xf>
    <xf applyAlignment="1" applyBorder="1" applyFont="1" applyProtection="1" borderId="3" fillId="0" fontId="4" numFmtId="0" xfId="2">
      <alignment horizontal="center" vertical="center"/>
      <protection locked="0"/>
    </xf>
    <xf applyAlignment="1" applyBorder="1" applyFont="1" applyNumberFormat="1" applyProtection="1" borderId="3" fillId="0" fontId="4" numFmtId="2" xfId="2">
      <alignment horizontal="right" vertical="center"/>
      <protection locked="0"/>
    </xf>
    <xf applyAlignment="1" applyBorder="1" applyFont="1" applyNumberFormat="1" applyProtection="1" borderId="3" fillId="0" fontId="7" numFmtId="2" xfId="2">
      <alignment vertical="center"/>
      <protection locked="0"/>
    </xf>
    <xf applyFont="1" applyProtection="1" borderId="0" fillId="0" fontId="10" numFmtId="0" xfId="2">
      <protection locked="0"/>
    </xf>
    <xf applyFont="1" applyProtection="1" borderId="0" fillId="0" fontId="4" numFmtId="0" quotePrefix="1" xfId="2">
      <protection locked="0"/>
    </xf>
    <xf applyAlignment="1" applyFont="1" applyProtection="1" borderId="0" fillId="0" fontId="4" numFmtId="0" xfId="2">
      <alignment horizontal="left"/>
      <protection locked="0"/>
    </xf>
    <xf applyAlignment="1" applyFont="1" applyProtection="1" borderId="0" fillId="0" fontId="5" numFmtId="0" xfId="2">
      <alignment horizontal="left"/>
      <protection locked="0"/>
    </xf>
    <xf applyFont="1" borderId="0" fillId="0" fontId="11" numFmtId="0" xfId="0"/>
    <xf applyAlignment="1" applyFont="1" applyNumberFormat="1" borderId="0" fillId="0" fontId="11" numFmtId="2" xfId="0">
      <alignment horizontal="right" vertical="center"/>
    </xf>
    <xf applyFont="1" applyNumberFormat="1" borderId="0" fillId="0" fontId="11" numFmtId="165" xfId="0"/>
    <xf applyBorder="1" applyFont="1" borderId="2" fillId="0" fontId="11" numFmtId="0" xfId="0"/>
    <xf applyBorder="1" applyFont="1" borderId="3" fillId="0" fontId="11" numFmtId="0" xfId="0"/>
    <xf applyBorder="1" applyFont="1" borderId="0" fillId="0" fontId="11" numFmtId="0" xfId="0"/>
    <xf applyAlignment="1" applyBorder="1" applyFont="1" borderId="0" fillId="0" fontId="11" numFmtId="0" xfId="0"/>
    <xf applyAlignment="1" applyFont="1" borderId="0" fillId="0" fontId="11" numFmtId="0" xfId="0"/>
    <xf applyAlignment="1" applyBorder="1" applyFont="1" borderId="3" fillId="0" fontId="11" numFmtId="0" xfId="0"/>
    <xf applyAlignment="1" applyBorder="1" applyFont="1" borderId="1" fillId="0" fontId="11" numFmtId="0" xfId="0"/>
    <xf applyAlignment="1" applyBorder="1" applyFont="1" borderId="1" fillId="0" fontId="11" numFmtId="0" xfId="0">
      <alignment horizontal="right"/>
    </xf>
    <xf applyFont="1" borderId="0" fillId="0" fontId="14" numFmtId="0" xfId="0"/>
    <xf applyAlignment="1" applyFill="1" applyFont="1" applyProtection="1" borderId="0" fillId="0" fontId="0" numFmtId="0" xfId="2">
      <alignment horizontal="left"/>
      <protection locked="0"/>
    </xf>
    <xf applyAlignment="1" applyFill="1" applyFont="1" applyProtection="1" borderId="0" fillId="0" fontId="0" numFmtId="0" xfId="2">
      <protection locked="0"/>
    </xf>
    <xf applyAlignment="1" applyFill="1" applyFont="1" applyNumberFormat="1" applyProtection="1" borderId="0" fillId="0" fontId="0" numFmtId="164" xfId="2">
      <protection locked="0"/>
    </xf>
    <xf applyFont="1" applyProtection="1" borderId="0" fillId="0" fontId="0" numFmtId="0" xfId="2">
      <protection locked="0"/>
    </xf>
    <xf applyAlignment="1" applyBorder="1" applyFont="1" applyNumberFormat="1" applyProtection="1" borderId="2" fillId="0" fontId="4" numFmtId="165" xfId="2">
      <alignment vertical="center"/>
      <protection locked="0"/>
    </xf>
    <xf applyAlignment="1" applyFont="1" applyNumberFormat="1" applyProtection="1" borderId="0" fillId="0" fontId="4" numFmtId="165" xfId="2">
      <alignment vertical="center"/>
      <protection locked="0"/>
    </xf>
    <xf applyAlignment="1" applyBorder="1" applyFill="1" applyFont="1" applyNumberFormat="1" applyProtection="1" borderId="1" fillId="2" fontId="7" numFmtId="165" xfId="2">
      <alignment horizontal="right" vertical="center"/>
      <protection locked="0"/>
    </xf>
    <xf applyAlignment="1" applyFont="1" applyNumberFormat="1" applyProtection="1" borderId="0" fillId="0" fontId="4" numFmtId="165" xfId="2">
      <alignment vertical="center"/>
    </xf>
    <xf applyAlignment="1" applyFont="1" applyNumberFormat="1" applyProtection="1" borderId="0" fillId="0" fontId="0" numFmtId="165" xfId="2">
      <alignment vertical="center"/>
    </xf>
    <xf applyAlignment="1" applyBorder="1" applyFill="1" applyFont="1" applyNumberFormat="1" applyProtection="1" borderId="3" fillId="0" fontId="7" numFmtId="10" xfId="3">
      <alignment horizontal="center" vertical="center"/>
      <protection locked="0"/>
    </xf>
    <xf applyFont="1" borderId="0" fillId="0" fontId="16" numFmtId="0" xfId="4"/>
    <xf applyAlignment="1" applyFont="1" borderId="0" fillId="0" fontId="16" numFmtId="0" xfId="4">
      <alignment vertical="center"/>
    </xf>
    <xf applyAlignment="1" applyFill="1" applyFont="1" applyNumberFormat="1" borderId="0" fillId="0" fontId="16" numFmtId="1" xfId="4">
      <alignment horizontal="left"/>
    </xf>
    <xf applyAlignment="1" applyFont="1" borderId="0" fillId="0" fontId="16" numFmtId="0" xfId="4">
      <alignment horizontal="left"/>
    </xf>
    <xf applyAlignment="1" applyFill="1" applyFont="1" applyNumberFormat="1" borderId="0" fillId="0" fontId="16" numFmtId="166" xfId="4">
      <alignment horizontal="left"/>
    </xf>
    <xf applyAlignment="1" applyFill="1" applyFont="1" applyNumberFormat="1" borderId="0" fillId="0" fontId="16" numFmtId="2" xfId="4">
      <alignment horizontal="left"/>
    </xf>
    <xf applyAlignment="1" applyFont="1" borderId="0" fillId="0" fontId="17" numFmtId="0" xfId="4">
      <alignment vertical="center"/>
    </xf>
    <xf applyFill="1" applyFont="1" borderId="0" fillId="0" fontId="16" numFmtId="0" xfId="4"/>
    <xf applyAlignment="1" applyFill="1" applyFont="1" borderId="0" fillId="0" fontId="16" numFmtId="0" xfId="4">
      <alignment vertical="center"/>
    </xf>
    <xf applyAlignment="1" applyFill="1" applyFont="1" applyNumberFormat="1" borderId="0" fillId="0" fontId="16" numFmtId="167" xfId="4">
      <alignment horizontal="left"/>
    </xf>
    <xf applyBorder="1" applyFont="1" borderId="4" fillId="0" fontId="16" numFmtId="0" xfId="4"/>
    <xf applyAlignment="1" applyBorder="1" applyFont="1" borderId="4" fillId="0" fontId="16" numFmtId="0" xfId="4">
      <alignment vertical="center"/>
    </xf>
    <xf applyAlignment="1" applyFill="1" applyFont="1" applyNumberFormat="1" applyProtection="1" borderId="0" fillId="0" fontId="0" numFmtId="14" xfId="2">
      <protection locked="0"/>
    </xf>
    <xf applyAlignment="1" applyFont="1" applyNumberFormat="1" borderId="0" fillId="0" fontId="4" numFmtId="14" xfId="0">
      <alignment vertical="center"/>
    </xf>
    <xf applyAlignment="1" applyFill="1" applyFont="1" applyProtection="1" borderId="0" fillId="0" fontId="7" numFmtId="0" xfId="2">
      <protection locked="0"/>
    </xf>
    <xf applyAlignment="1" applyFont="1" applyProtection="1" borderId="0" fillId="0" fontId="7" numFmtId="0" xfId="2">
      <alignment horizontal="right"/>
      <protection locked="0"/>
    </xf>
    <xf applyAlignment="1" applyFont="1" applyProtection="1" borderId="0" fillId="0" fontId="0" numFmtId="0" xfId="2">
      <alignment horizontal="left"/>
      <protection locked="0"/>
    </xf>
    <xf applyFont="1" applyProtection="1" borderId="0" fillId="0" fontId="0" numFmtId="0" quotePrefix="1" xfId="2">
      <protection locked="0"/>
    </xf>
    <xf applyAlignment="1" applyFont="1" applyProtection="1" borderId="0" fillId="0" fontId="6" numFmtId="0" xfId="2">
      <alignment horizontal="left"/>
      <protection locked="0"/>
    </xf>
    <xf applyAlignment="1" applyFont="1" applyProtection="1" borderId="0" fillId="0" fontId="7" numFmtId="0" quotePrefix="1" xfId="2">
      <alignment horizontal="right"/>
      <protection locked="0"/>
    </xf>
    <xf applyAlignment="1" applyFont="1" applyProtection="1" borderId="0" fillId="0" fontId="19" numFmtId="0" quotePrefix="1" xfId="2">
      <alignment horizontal="right"/>
      <protection locked="0"/>
    </xf>
    <xf applyFont="1" applyProtection="1" borderId="0" fillId="0" fontId="20" numFmtId="0" xfId="2">
      <protection locked="0"/>
    </xf>
    <xf applyFont="1" applyProtection="1" borderId="0" fillId="0" fontId="20" numFmtId="0" quotePrefix="1" xfId="2">
      <protection locked="0"/>
    </xf>
    <xf applyAlignment="1" applyFont="1" applyProtection="1" borderId="0" fillId="0" fontId="20" numFmtId="0" xfId="2">
      <alignment horizontal="left"/>
      <protection locked="0"/>
    </xf>
    <xf applyFont="1" applyProtection="1" borderId="0" fillId="0" fontId="13" numFmtId="0" xfId="0">
      <protection locked="0"/>
    </xf>
    <xf applyFont="1" applyProtection="1" borderId="0" fillId="0" fontId="11" numFmtId="0" xfId="0">
      <protection locked="0"/>
    </xf>
    <xf applyBorder="1" applyFont="1" applyProtection="1" borderId="3" fillId="0" fontId="11" numFmtId="0" xfId="0">
      <protection locked="0"/>
    </xf>
    <xf applyBorder="1" applyFont="1" applyProtection="1" borderId="1" fillId="0" fontId="11" numFmtId="0" xfId="0">
      <protection locked="0"/>
    </xf>
    <xf applyBorder="1" applyFont="1" applyProtection="1" borderId="0" fillId="0" fontId="11" numFmtId="0" xfId="0">
      <protection locked="0"/>
    </xf>
    <xf applyFont="1" applyProtection="1" borderId="0" fillId="0" fontId="12" numFmtId="0" xfId="0">
      <protection locked="0"/>
    </xf>
    <xf applyBorder="1" applyFont="1" applyNumberFormat="1" applyProtection="1" borderId="3" fillId="0" fontId="11" numFmtId="0" xfId="0">
      <protection locked="0"/>
    </xf>
    <xf applyAlignment="1" applyBorder="1" applyFill="1" applyFont="1" applyProtection="1" borderId="1" fillId="2" fontId="7" numFmtId="0" xfId="2">
      <alignment horizontal="center" vertical="center"/>
      <protection locked="0"/>
    </xf>
    <xf applyAlignment="1" applyBorder="1" applyFont="1" borderId="0" fillId="0" fontId="18" numFmtId="0" xfId="4">
      <alignment horizontal="center" vertical="center"/>
    </xf>
    <xf applyAlignment="1" applyBorder="1" applyFont="1" borderId="4" fillId="0" fontId="18" numFmtId="0" xfId="4">
      <alignment horizontal="center" vertical="center"/>
    </xf>
    <xf applyFont="true" borderId="0" fillId="0" fontId="22" numFmtId="0" xfId="0"/>
    <xf applyNumberFormat="true" borderId="0" fillId="0" fontId="0" numFmtId="168" xfId="0"/>
  </cellXfs>
  <cellStyles count="5">
    <cellStyle builtinId="0" name="Normal" xfId="0"/>
    <cellStyle name="Normal 2" xfId="1" xr:uid="{00000000-0005-0000-0000-000001000000}"/>
    <cellStyle name="Normal 3" xfId="2" xr:uid="{00000000-0005-0000-0000-000002000000}"/>
    <cellStyle name="Normal 4" xfId="4" xr:uid="{00000000-0005-0000-0000-000003000000}"/>
    <cellStyle name="Percent 2" xfId="3" xr:uid="{00000000-0005-0000-0000-000004000000}"/>
  </cellStyles>
  <dxfs count="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12" Target="worksheets/sheet8.xml" Type="http://schemas.openxmlformats.org/officeDocument/2006/relationships/worksheet"/><Relationship Id="rId13" Target="worksheets/sheet9.xml" Type="http://schemas.openxmlformats.org/officeDocument/2006/relationships/worksheet"/><Relationship Id="rId14" Target="worksheets/sheet10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externalLinks/externalLink1.xml" Type="http://schemas.openxmlformats.org/officeDocument/2006/relationships/externalLink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12</xdr:col>
      <xdr:colOff>12700</xdr:colOff>
      <xdr:row>3</xdr:row>
      <xdr:rowOff>152400</xdr:rowOff>
    </xdr:from>
    <xdr:to>
      <xdr:col>13</xdr:col>
      <xdr:colOff>266700</xdr:colOff>
      <xdr:row>5</xdr:row>
      <xdr:rowOff>88900</xdr:rowOff>
    </xdr:to>
    <xdr:sp macro="" textlink="">
      <xdr:nvSpPr>
        <xdr:cNvPr hidden="1" id="2" name="CommandButton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11137900" y="622300"/>
          <a:ext cx="10541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5</xdr:row>
      <xdr:rowOff>127000</xdr:rowOff>
    </xdr:from>
    <xdr:to>
      <xdr:col>13</xdr:col>
      <xdr:colOff>266700</xdr:colOff>
      <xdr:row>7</xdr:row>
      <xdr:rowOff>76200</xdr:rowOff>
    </xdr:to>
    <xdr:sp macro="" textlink="">
      <xdr:nvSpPr>
        <xdr:cNvPr hidden="1" id="3" name="CommandButton2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137900" y="9525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7</xdr:row>
      <xdr:rowOff>114300</xdr:rowOff>
    </xdr:from>
    <xdr:to>
      <xdr:col>13</xdr:col>
      <xdr:colOff>266700</xdr:colOff>
      <xdr:row>9</xdr:row>
      <xdr:rowOff>63500</xdr:rowOff>
    </xdr:to>
    <xdr:sp macro="" textlink="">
      <xdr:nvSpPr>
        <xdr:cNvPr hidden="1" id="4" name="CommandButton3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137900" y="12954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14</xdr:col>
      <xdr:colOff>0</xdr:colOff>
      <xdr:row>5</xdr:row>
      <xdr:rowOff>152400</xdr:rowOff>
    </xdr:to>
    <xdr:sp macro="" textlink="">
      <xdr:nvSpPr>
        <xdr:cNvPr hidden="1" id="1026" name="SaveAsPDF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14</xdr:col>
      <xdr:colOff>0</xdr:colOff>
      <xdr:row>7</xdr:row>
      <xdr:rowOff>152400</xdr:rowOff>
    </xdr:to>
    <xdr:sp macro="" textlink="">
      <xdr:nvSpPr>
        <xdr:cNvPr hidden="1" id="1027" name="PrintPage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7</xdr:row>
      <xdr:rowOff>177800</xdr:rowOff>
    </xdr:from>
    <xdr:to>
      <xdr:col>14</xdr:col>
      <xdr:colOff>0</xdr:colOff>
      <xdr:row>10</xdr:row>
      <xdr:rowOff>1587</xdr:rowOff>
    </xdr:to>
    <xdr:sp macro="" textlink="">
      <xdr:nvSpPr>
        <xdr:cNvPr hidden="1" id="1028" name="EmailFactory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161925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hidden="1" id="5" name="Button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8</xdr:row>
          <xdr:rowOff>0</xdr:rowOff>
        </xdr:from>
        <xdr:to>
          <xdr:col>14</xdr:col>
          <xdr:colOff>0</xdr:colOff>
          <xdr:row>10</xdr:row>
          <xdr:rowOff>19050</xdr:rowOff>
        </xdr:to>
        <xdr:sp macro="" textlink="">
          <xdr:nvSpPr>
            <xdr:cNvPr hidden="1" id="1029" name="Button 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19050</xdr:rowOff>
        </xdr:from>
        <xdr:to>
          <xdr:col>14</xdr:col>
          <xdr:colOff>0</xdr:colOff>
          <xdr:row>12</xdr:row>
          <xdr:rowOff>28575</xdr:rowOff>
        </xdr:to>
        <xdr:sp macro="" textlink="">
          <xdr:nvSpPr>
            <xdr:cNvPr hidden="1"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<Relationships xmlns="http://schemas.openxmlformats.org/package/2006/relationships"><Relationship Id="rId1" Target="file:///Y:/SAUDER/ADMIN/Sauder%20Template%206-01-2018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-CI-PL"/>
      <sheetName val="WORKSHEET"/>
      <sheetName val="NAFTA"/>
      <sheetName val="CAFTA"/>
      <sheetName val="BOOKING"/>
      <sheetName val="SLI FORM"/>
      <sheetName val="SLI ASSIST"/>
      <sheetName val="PRICELIST"/>
      <sheetName val="STAMP"/>
    </sheetNames>
    <sheetDataSet>
      <sheetData sheetId="0">
        <row r="2">
          <cell r="P2">
            <v>0</v>
          </cell>
        </row>
        <row r="24">
          <cell r="E24">
            <v>0</v>
          </cell>
          <cell r="F24">
            <v>0</v>
          </cell>
          <cell r="L24">
            <v>0</v>
          </cell>
          <cell r="M24">
            <v>0</v>
          </cell>
        </row>
        <row r="25">
          <cell r="E25">
            <v>0</v>
          </cell>
          <cell r="F25">
            <v>0</v>
          </cell>
          <cell r="L25">
            <v>0</v>
          </cell>
          <cell r="M25">
            <v>0</v>
          </cell>
        </row>
        <row r="26">
          <cell r="E26">
            <v>0</v>
          </cell>
          <cell r="F26">
            <v>0</v>
          </cell>
          <cell r="L26">
            <v>0</v>
          </cell>
          <cell r="M26">
            <v>0</v>
          </cell>
        </row>
        <row r="27">
          <cell r="E27">
            <v>0</v>
          </cell>
          <cell r="F27">
            <v>0</v>
          </cell>
          <cell r="L27">
            <v>0</v>
          </cell>
          <cell r="M27">
            <v>0</v>
          </cell>
        </row>
        <row r="28">
          <cell r="E28">
            <v>0</v>
          </cell>
          <cell r="F28">
            <v>0</v>
          </cell>
          <cell r="L28">
            <v>0</v>
          </cell>
          <cell r="M28">
            <v>0</v>
          </cell>
        </row>
        <row r="29">
          <cell r="E29">
            <v>0</v>
          </cell>
          <cell r="F29">
            <v>0</v>
          </cell>
          <cell r="L29">
            <v>0</v>
          </cell>
          <cell r="M29">
            <v>0</v>
          </cell>
        </row>
        <row r="30">
          <cell r="E30">
            <v>0</v>
          </cell>
          <cell r="F30">
            <v>0</v>
          </cell>
          <cell r="L30">
            <v>0</v>
          </cell>
          <cell r="M30">
            <v>0</v>
          </cell>
        </row>
        <row r="31">
          <cell r="E31">
            <v>0</v>
          </cell>
          <cell r="F31">
            <v>0</v>
          </cell>
          <cell r="L31">
            <v>0</v>
          </cell>
          <cell r="M31">
            <v>0</v>
          </cell>
        </row>
        <row r="32">
          <cell r="E32">
            <v>0</v>
          </cell>
          <cell r="F32">
            <v>0</v>
          </cell>
          <cell r="L32">
            <v>0</v>
          </cell>
          <cell r="M32">
            <v>0</v>
          </cell>
        </row>
        <row r="33">
          <cell r="E33">
            <v>0</v>
          </cell>
          <cell r="F33">
            <v>0</v>
          </cell>
          <cell r="L33">
            <v>0</v>
          </cell>
          <cell r="M33">
            <v>0</v>
          </cell>
        </row>
        <row r="34">
          <cell r="E34">
            <v>0</v>
          </cell>
          <cell r="F34">
            <v>0</v>
          </cell>
          <cell r="L34">
            <v>0</v>
          </cell>
          <cell r="M34">
            <v>0</v>
          </cell>
        </row>
        <row r="35">
          <cell r="E35">
            <v>0</v>
          </cell>
          <cell r="F35">
            <v>0</v>
          </cell>
          <cell r="L35">
            <v>0</v>
          </cell>
          <cell r="M35">
            <v>0</v>
          </cell>
        </row>
        <row r="36">
          <cell r="E36">
            <v>0</v>
          </cell>
          <cell r="F36">
            <v>0</v>
          </cell>
          <cell r="L36">
            <v>0</v>
          </cell>
          <cell r="M36">
            <v>0</v>
          </cell>
        </row>
        <row r="37">
          <cell r="E37">
            <v>0</v>
          </cell>
          <cell r="F37">
            <v>0</v>
          </cell>
          <cell r="L37">
            <v>0</v>
          </cell>
          <cell r="M37">
            <v>0</v>
          </cell>
        </row>
        <row r="38">
          <cell r="E38">
            <v>0</v>
          </cell>
          <cell r="F38">
            <v>0</v>
          </cell>
          <cell r="L38">
            <v>0</v>
          </cell>
          <cell r="M38">
            <v>0</v>
          </cell>
        </row>
        <row r="39">
          <cell r="E39">
            <v>0</v>
          </cell>
          <cell r="F39">
            <v>0</v>
          </cell>
          <cell r="L39">
            <v>0</v>
          </cell>
          <cell r="M39">
            <v>0</v>
          </cell>
        </row>
        <row r="40">
          <cell r="E40">
            <v>0</v>
          </cell>
          <cell r="F40">
            <v>0</v>
          </cell>
          <cell r="L40">
            <v>0</v>
          </cell>
          <cell r="M40">
            <v>0</v>
          </cell>
        </row>
        <row r="41">
          <cell r="E41">
            <v>0</v>
          </cell>
          <cell r="F41">
            <v>0</v>
          </cell>
          <cell r="L41">
            <v>0</v>
          </cell>
          <cell r="M41">
            <v>0</v>
          </cell>
        </row>
        <row r="42">
          <cell r="E42">
            <v>0</v>
          </cell>
          <cell r="F42">
            <v>0</v>
          </cell>
          <cell r="L42">
            <v>0</v>
          </cell>
          <cell r="M42">
            <v>0</v>
          </cell>
        </row>
        <row r="43">
          <cell r="E43">
            <v>0</v>
          </cell>
          <cell r="F43">
            <v>0</v>
          </cell>
          <cell r="L43">
            <v>0</v>
          </cell>
          <cell r="M43">
            <v>0</v>
          </cell>
        </row>
        <row r="44">
          <cell r="E44">
            <v>0</v>
          </cell>
          <cell r="F44">
            <v>0</v>
          </cell>
          <cell r="L44">
            <v>0</v>
          </cell>
          <cell r="M44">
            <v>0</v>
          </cell>
        </row>
        <row r="45">
          <cell r="E45">
            <v>0</v>
          </cell>
          <cell r="F45">
            <v>0</v>
          </cell>
          <cell r="L45">
            <v>0</v>
          </cell>
          <cell r="M45">
            <v>0</v>
          </cell>
        </row>
        <row r="46">
          <cell r="E46">
            <v>0</v>
          </cell>
          <cell r="F46">
            <v>0</v>
          </cell>
          <cell r="L46">
            <v>0</v>
          </cell>
          <cell r="M46">
            <v>0</v>
          </cell>
        </row>
        <row r="47">
          <cell r="E47">
            <v>0</v>
          </cell>
          <cell r="F47">
            <v>0</v>
          </cell>
          <cell r="L47">
            <v>0</v>
          </cell>
          <cell r="M47">
            <v>0</v>
          </cell>
        </row>
        <row r="48">
          <cell r="E48">
            <v>0</v>
          </cell>
          <cell r="F48">
            <v>0</v>
          </cell>
          <cell r="L48">
            <v>0</v>
          </cell>
          <cell r="M48">
            <v>0</v>
          </cell>
        </row>
        <row r="49">
          <cell r="E49">
            <v>0</v>
          </cell>
          <cell r="F49">
            <v>0</v>
          </cell>
          <cell r="L49">
            <v>0</v>
          </cell>
          <cell r="M49">
            <v>0</v>
          </cell>
        </row>
        <row r="50">
          <cell r="E50">
            <v>0</v>
          </cell>
          <cell r="F50">
            <v>0</v>
          </cell>
          <cell r="L50">
            <v>0</v>
          </cell>
          <cell r="M50">
            <v>0</v>
          </cell>
        </row>
        <row r="51">
          <cell r="E51">
            <v>0</v>
          </cell>
          <cell r="F51">
            <v>0</v>
          </cell>
          <cell r="L51">
            <v>0</v>
          </cell>
          <cell r="M51">
            <v>0</v>
          </cell>
        </row>
        <row r="52">
          <cell r="E52">
            <v>0</v>
          </cell>
          <cell r="F52">
            <v>0</v>
          </cell>
          <cell r="L52">
            <v>0</v>
          </cell>
          <cell r="M52">
            <v>0</v>
          </cell>
        </row>
        <row r="53">
          <cell r="E53">
            <v>0</v>
          </cell>
          <cell r="F53">
            <v>0</v>
          </cell>
          <cell r="L53">
            <v>0</v>
          </cell>
          <cell r="M53">
            <v>0</v>
          </cell>
        </row>
        <row r="54">
          <cell r="E54">
            <v>0</v>
          </cell>
          <cell r="F54">
            <v>0</v>
          </cell>
          <cell r="L54">
            <v>0</v>
          </cell>
          <cell r="M54">
            <v>0</v>
          </cell>
        </row>
        <row r="55">
          <cell r="E55">
            <v>0</v>
          </cell>
          <cell r="F55">
            <v>0</v>
          </cell>
          <cell r="L55">
            <v>0</v>
          </cell>
          <cell r="M55">
            <v>0</v>
          </cell>
        </row>
        <row r="56">
          <cell r="E56">
            <v>0</v>
          </cell>
          <cell r="F56">
            <v>0</v>
          </cell>
          <cell r="L56">
            <v>0</v>
          </cell>
          <cell r="M56">
            <v>0</v>
          </cell>
        </row>
        <row r="57">
          <cell r="E57">
            <v>0</v>
          </cell>
          <cell r="F57">
            <v>0</v>
          </cell>
          <cell r="L57">
            <v>0</v>
          </cell>
          <cell r="M57">
            <v>0</v>
          </cell>
        </row>
        <row r="58">
          <cell r="E58">
            <v>0</v>
          </cell>
          <cell r="F58">
            <v>0</v>
          </cell>
          <cell r="L58">
            <v>0</v>
          </cell>
          <cell r="M58">
            <v>0</v>
          </cell>
        </row>
        <row r="59">
          <cell r="E59">
            <v>0</v>
          </cell>
          <cell r="F59">
            <v>0</v>
          </cell>
          <cell r="L59">
            <v>0</v>
          </cell>
          <cell r="M59">
            <v>0</v>
          </cell>
        </row>
        <row r="60">
          <cell r="E60">
            <v>0</v>
          </cell>
          <cell r="F60">
            <v>0</v>
          </cell>
          <cell r="L60">
            <v>0</v>
          </cell>
          <cell r="M60">
            <v>0</v>
          </cell>
        </row>
        <row r="61">
          <cell r="E61">
            <v>0</v>
          </cell>
          <cell r="F61">
            <v>0</v>
          </cell>
          <cell r="L61">
            <v>0</v>
          </cell>
          <cell r="M61">
            <v>0</v>
          </cell>
        </row>
        <row r="62">
          <cell r="E62">
            <v>0</v>
          </cell>
          <cell r="F62">
            <v>0</v>
          </cell>
          <cell r="L62">
            <v>0</v>
          </cell>
          <cell r="M62">
            <v>0</v>
          </cell>
        </row>
        <row r="63">
          <cell r="E63">
            <v>0</v>
          </cell>
          <cell r="F63">
            <v>0</v>
          </cell>
          <cell r="L63">
            <v>0</v>
          </cell>
          <cell r="M63">
            <v>0</v>
          </cell>
        </row>
        <row r="64">
          <cell r="E64">
            <v>0</v>
          </cell>
          <cell r="F64">
            <v>0</v>
          </cell>
          <cell r="L64">
            <v>0</v>
          </cell>
          <cell r="M64">
            <v>0</v>
          </cell>
        </row>
        <row r="65">
          <cell r="E65">
            <v>0</v>
          </cell>
          <cell r="F65">
            <v>0</v>
          </cell>
          <cell r="L65">
            <v>0</v>
          </cell>
          <cell r="M65">
            <v>0</v>
          </cell>
        </row>
        <row r="66">
          <cell r="E66">
            <v>0</v>
          </cell>
          <cell r="F66">
            <v>0</v>
          </cell>
          <cell r="L66">
            <v>0</v>
          </cell>
          <cell r="M66">
            <v>0</v>
          </cell>
        </row>
        <row r="67">
          <cell r="E67">
            <v>0</v>
          </cell>
          <cell r="F67">
            <v>0</v>
          </cell>
          <cell r="L67">
            <v>0</v>
          </cell>
          <cell r="M67">
            <v>0</v>
          </cell>
        </row>
        <row r="68">
          <cell r="E68">
            <v>0</v>
          </cell>
          <cell r="F68">
            <v>0</v>
          </cell>
          <cell r="L68">
            <v>0</v>
          </cell>
          <cell r="M68">
            <v>0</v>
          </cell>
        </row>
        <row r="69">
          <cell r="E69">
            <v>0</v>
          </cell>
          <cell r="F69">
            <v>0</v>
          </cell>
          <cell r="L69">
            <v>0</v>
          </cell>
          <cell r="M69">
            <v>0</v>
          </cell>
        </row>
        <row r="70">
          <cell r="E70">
            <v>0</v>
          </cell>
          <cell r="F70">
            <v>0</v>
          </cell>
          <cell r="L70">
            <v>0</v>
          </cell>
          <cell r="M70">
            <v>0</v>
          </cell>
        </row>
        <row r="71">
          <cell r="E71">
            <v>0</v>
          </cell>
          <cell r="F71">
            <v>0</v>
          </cell>
          <cell r="L71">
            <v>0</v>
          </cell>
          <cell r="M71">
            <v>0</v>
          </cell>
        </row>
        <row r="72">
          <cell r="E72">
            <v>0</v>
          </cell>
          <cell r="F72">
            <v>0</v>
          </cell>
          <cell r="L72">
            <v>0</v>
          </cell>
          <cell r="M72">
            <v>0</v>
          </cell>
        </row>
        <row r="73">
          <cell r="E73">
            <v>0</v>
          </cell>
          <cell r="F73">
            <v>0</v>
          </cell>
          <cell r="L73">
            <v>0</v>
          </cell>
          <cell r="M73">
            <v>0</v>
          </cell>
        </row>
        <row r="74">
          <cell r="E74">
            <v>0</v>
          </cell>
          <cell r="F74">
            <v>0</v>
          </cell>
          <cell r="L74">
            <v>0</v>
          </cell>
          <cell r="M74">
            <v>0</v>
          </cell>
        </row>
        <row r="75">
          <cell r="E75">
            <v>0</v>
          </cell>
          <cell r="F75">
            <v>0</v>
          </cell>
          <cell r="L75">
            <v>0</v>
          </cell>
          <cell r="M75">
            <v>0</v>
          </cell>
        </row>
        <row r="76">
          <cell r="E76">
            <v>0</v>
          </cell>
          <cell r="F76">
            <v>0</v>
          </cell>
          <cell r="L76">
            <v>0</v>
          </cell>
          <cell r="M76">
            <v>0</v>
          </cell>
        </row>
        <row r="77">
          <cell r="E77">
            <v>0</v>
          </cell>
          <cell r="F77">
            <v>0</v>
          </cell>
          <cell r="L77">
            <v>0</v>
          </cell>
          <cell r="M77">
            <v>0</v>
          </cell>
        </row>
        <row r="78">
          <cell r="E78">
            <v>0</v>
          </cell>
          <cell r="F78">
            <v>0</v>
          </cell>
          <cell r="L78">
            <v>0</v>
          </cell>
          <cell r="M78">
            <v>0</v>
          </cell>
        </row>
        <row r="79">
          <cell r="E79">
            <v>0</v>
          </cell>
          <cell r="F79">
            <v>0</v>
          </cell>
          <cell r="L79">
            <v>0</v>
          </cell>
          <cell r="M79">
            <v>0</v>
          </cell>
        </row>
        <row r="80">
          <cell r="E80">
            <v>0</v>
          </cell>
          <cell r="F80">
            <v>0</v>
          </cell>
          <cell r="L80">
            <v>0</v>
          </cell>
          <cell r="M80">
            <v>0</v>
          </cell>
        </row>
        <row r="81">
          <cell r="E81">
            <v>0</v>
          </cell>
          <cell r="F81">
            <v>0</v>
          </cell>
          <cell r="L81">
            <v>0</v>
          </cell>
          <cell r="M81">
            <v>0</v>
          </cell>
        </row>
        <row r="82">
          <cell r="E82">
            <v>0</v>
          </cell>
          <cell r="F82">
            <v>0</v>
          </cell>
          <cell r="L82">
            <v>0</v>
          </cell>
          <cell r="M82">
            <v>0</v>
          </cell>
        </row>
        <row r="83">
          <cell r="E83">
            <v>0</v>
          </cell>
          <cell r="F83">
            <v>0</v>
          </cell>
          <cell r="L83">
            <v>0</v>
          </cell>
          <cell r="M83">
            <v>0</v>
          </cell>
        </row>
        <row r="84">
          <cell r="E84">
            <v>0</v>
          </cell>
          <cell r="F84">
            <v>0</v>
          </cell>
          <cell r="L84">
            <v>0</v>
          </cell>
          <cell r="M84">
            <v>0</v>
          </cell>
        </row>
        <row r="85">
          <cell r="E85">
            <v>0</v>
          </cell>
          <cell r="F85">
            <v>0</v>
          </cell>
          <cell r="L85">
            <v>0</v>
          </cell>
          <cell r="M85">
            <v>0</v>
          </cell>
        </row>
        <row r="86">
          <cell r="E86">
            <v>0</v>
          </cell>
          <cell r="F86">
            <v>0</v>
          </cell>
          <cell r="L86">
            <v>0</v>
          </cell>
          <cell r="M86">
            <v>0</v>
          </cell>
        </row>
        <row r="87">
          <cell r="E87">
            <v>0</v>
          </cell>
          <cell r="F87">
            <v>0</v>
          </cell>
          <cell r="L87">
            <v>0</v>
          </cell>
          <cell r="M87">
            <v>0</v>
          </cell>
        </row>
        <row r="88">
          <cell r="E88">
            <v>0</v>
          </cell>
          <cell r="F88">
            <v>0</v>
          </cell>
          <cell r="L88">
            <v>0</v>
          </cell>
          <cell r="M88">
            <v>0</v>
          </cell>
        </row>
        <row r="89">
          <cell r="E89">
            <v>0</v>
          </cell>
          <cell r="F89">
            <v>0</v>
          </cell>
          <cell r="L89">
            <v>0</v>
          </cell>
          <cell r="M89">
            <v>0</v>
          </cell>
        </row>
        <row r="90">
          <cell r="E90">
            <v>0</v>
          </cell>
          <cell r="F90">
            <v>0</v>
          </cell>
          <cell r="L90">
            <v>0</v>
          </cell>
          <cell r="M90">
            <v>0</v>
          </cell>
        </row>
        <row r="91">
          <cell r="E91">
            <v>0</v>
          </cell>
          <cell r="F91">
            <v>0</v>
          </cell>
          <cell r="L91">
            <v>0</v>
          </cell>
          <cell r="M91">
            <v>0</v>
          </cell>
        </row>
        <row r="92">
          <cell r="E92">
            <v>0</v>
          </cell>
          <cell r="F92">
            <v>0</v>
          </cell>
          <cell r="L92">
            <v>0</v>
          </cell>
          <cell r="M92">
            <v>0</v>
          </cell>
        </row>
        <row r="93">
          <cell r="E93">
            <v>0</v>
          </cell>
          <cell r="F93">
            <v>0</v>
          </cell>
          <cell r="L93">
            <v>0</v>
          </cell>
          <cell r="M93">
            <v>0</v>
          </cell>
        </row>
        <row r="94">
          <cell r="E94">
            <v>0</v>
          </cell>
          <cell r="F94">
            <v>0</v>
          </cell>
          <cell r="L94">
            <v>0</v>
          </cell>
          <cell r="M94">
            <v>0</v>
          </cell>
        </row>
        <row r="95">
          <cell r="E95">
            <v>0</v>
          </cell>
          <cell r="F95">
            <v>0</v>
          </cell>
          <cell r="L95">
            <v>0</v>
          </cell>
          <cell r="M95">
            <v>0</v>
          </cell>
        </row>
        <row r="96">
          <cell r="E96">
            <v>0</v>
          </cell>
          <cell r="F96">
            <v>0</v>
          </cell>
          <cell r="L96">
            <v>0</v>
          </cell>
          <cell r="M96">
            <v>0</v>
          </cell>
        </row>
        <row r="97">
          <cell r="E97">
            <v>0</v>
          </cell>
          <cell r="F97">
            <v>0</v>
          </cell>
          <cell r="L97">
            <v>0</v>
          </cell>
          <cell r="M97">
            <v>0</v>
          </cell>
        </row>
        <row r="98">
          <cell r="E98">
            <v>0</v>
          </cell>
          <cell r="F98">
            <v>0</v>
          </cell>
          <cell r="L98">
            <v>0</v>
          </cell>
          <cell r="M98">
            <v>0</v>
          </cell>
        </row>
        <row r="99">
          <cell r="E99">
            <v>0</v>
          </cell>
          <cell r="F99">
            <v>0</v>
          </cell>
          <cell r="L99">
            <v>0</v>
          </cell>
          <cell r="M99">
            <v>0</v>
          </cell>
        </row>
        <row r="100">
          <cell r="C100">
            <v>0</v>
          </cell>
          <cell r="E10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5"/>
  <sheetViews>
    <sheetView workbookViewId="0" zoomScale="85" zoomScaleNormal="85"/>
  </sheetViews>
  <sheetFormatPr defaultColWidth="10.75" defaultRowHeight="15.75" x14ac:dyDescent="0.25"/>
  <cols>
    <col min="1" max="1" customWidth="true" style="1" width="18.25" collapsed="true"/>
    <col min="2" max="8" customWidth="true" style="1" width="12.5" collapsed="true"/>
    <col min="9" max="10" customWidth="true" style="18" width="12.5" collapsed="true"/>
    <col min="11" max="26" customWidth="true" style="24" width="12.5" collapsed="true"/>
    <col min="27" max="16384" style="1" width="10.75" collapsed="true"/>
  </cols>
  <sheetData>
    <row ht="21" r="1" spans="1:26" x14ac:dyDescent="0.25">
      <c r="A1" s="17" t="s">
        <v>0</v>
      </c>
      <c r="F1"/>
      <c r="G1"/>
      <c r="J1"/>
    </row>
    <row customFormat="1" customHeight="1" ht="15.4" r="2" s="2" spans="1:26" x14ac:dyDescent="0.25">
      <c r="A2"/>
      <c r="F2"/>
      <c r="G2"/>
      <c r="I2" s="19"/>
      <c r="J2" s="1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customFormat="1" customHeight="1" ht="15.4" r="3" s="2" spans="1:26" x14ac:dyDescent="0.25">
      <c r="A3" s="3" t="s">
        <v>1</v>
      </c>
      <c r="B3" t="s">
        <v>133</v>
      </c>
      <c r="E3" s="3" t="s">
        <v>2</v>
      </c>
      <c r="F3" t="s">
        <v>134</v>
      </c>
      <c r="G3"/>
      <c r="I3" s="20" t="s">
        <v>3</v>
      </c>
      <c r="J3" t="s">
        <v>154</v>
      </c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>
      <c r="A4"/>
      <c r="B4" t="s">
        <v>133</v>
      </c>
      <c r="E4"/>
      <c r="F4" t="s">
        <v>134</v>
      </c>
      <c r="G4"/>
      <c r="J4"/>
    </row>
    <row r="5">
      <c r="A5"/>
      <c r="B5" t="s">
        <v>133</v>
      </c>
      <c r="E5"/>
      <c r="F5" t="s">
        <v>134</v>
      </c>
      <c r="G5"/>
      <c r="J5"/>
    </row>
    <row r="6">
      <c r="A6"/>
      <c r="B6" t="s">
        <v>133</v>
      </c>
      <c r="E6"/>
      <c r="F6" t="s">
        <v>134</v>
      </c>
      <c r="G6"/>
      <c r="J6"/>
    </row>
    <row r="7">
      <c r="A7"/>
      <c r="B7" t="s">
        <v>133</v>
      </c>
      <c r="E7"/>
      <c r="F7" t="s">
        <v>134</v>
      </c>
      <c r="G7"/>
      <c r="J7"/>
    </row>
    <row r="8">
      <c r="A8"/>
      <c r="B8" t="s">
        <v>133</v>
      </c>
      <c r="E8"/>
      <c r="F8" t="s">
        <v>134</v>
      </c>
      <c r="G8"/>
      <c r="J8"/>
    </row>
    <row r="9">
      <c r="A9"/>
      <c r="B9" t="s">
        <v>133</v>
      </c>
      <c r="E9"/>
      <c r="F9" t="s">
        <v>134</v>
      </c>
      <c r="G9"/>
      <c r="J9"/>
    </row>
    <row r="10">
      <c r="A10"/>
      <c r="B10" t="s">
        <v>133</v>
      </c>
      <c r="E10"/>
      <c r="F10" t="s">
        <v>134</v>
      </c>
      <c r="G10"/>
      <c r="J10"/>
    </row>
    <row r="11">
      <c r="A11"/>
      <c r="B11"/>
      <c r="F11"/>
      <c r="G11"/>
      <c r="J11"/>
    </row>
    <row customFormat="1" r="12" s="2" spans="1:26" x14ac:dyDescent="0.25">
      <c r="A12"/>
      <c r="F12"/>
      <c r="G12"/>
      <c r="I12" s="19"/>
      <c r="J12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customFormat="1" r="13" s="2" spans="1:26" x14ac:dyDescent="0.25">
      <c r="A13" s="4" t="s">
        <v>4</v>
      </c>
      <c r="B13" t="s">
        <v>150</v>
      </c>
      <c r="F13"/>
      <c r="G13" s="4" t="s">
        <v>11</v>
      </c>
      <c r="H13" s="126" t="s">
        <v>140</v>
      </c>
      <c r="I13" s="19"/>
      <c r="J1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customFormat="1" r="14" s="2" spans="1:26" x14ac:dyDescent="0.25">
      <c r="A14" s="4" t="s">
        <v>5</v>
      </c>
      <c r="F14"/>
      <c r="H14" s="126" t="s">
        <v>141</v>
      </c>
      <c r="I14" s="19"/>
      <c r="J1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customFormat="1" r="15" s="2" spans="1:26" x14ac:dyDescent="0.25">
      <c r="A15" s="4" t="s">
        <v>6</v>
      </c>
      <c r="B15" t="s">
        <v>128</v>
      </c>
      <c r="F15"/>
      <c r="H15" t="s">
        <v>142</v>
      </c>
      <c r="I15" s="19"/>
      <c r="J15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customFormat="1" r="16" s="2" spans="1:26" x14ac:dyDescent="0.25">
      <c r="A16" s="4" t="s">
        <v>7</v>
      </c>
      <c r="B16" t="s">
        <v>151</v>
      </c>
      <c r="F16"/>
      <c r="H16" t="s">
        <v>126</v>
      </c>
      <c r="I16" s="19"/>
      <c r="J16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customFormat="1" r="17" s="2" spans="1:26" x14ac:dyDescent="0.25">
      <c r="A17" s="5" t="s">
        <v>8</v>
      </c>
      <c r="B17" t="s">
        <v>152</v>
      </c>
      <c r="F17"/>
      <c r="H17" t="s">
        <v>143</v>
      </c>
      <c r="I17" s="19"/>
      <c r="J1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customFormat="1" r="18" s="2" spans="1:26" x14ac:dyDescent="0.25">
      <c r="A18" s="5" t="s">
        <v>9</v>
      </c>
      <c r="B18" t="s">
        <v>153</v>
      </c>
      <c r="F18"/>
      <c r="H18" t="s">
        <v>144</v>
      </c>
      <c r="I18" s="19"/>
      <c r="J1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customFormat="1" r="19" s="2" spans="1:26" x14ac:dyDescent="0.25">
      <c r="A19" s="5" t="s">
        <v>82</v>
      </c>
      <c r="B19" t="s">
        <v>148</v>
      </c>
      <c r="F19"/>
      <c r="H19" t="s">
        <v>145</v>
      </c>
      <c r="I19" s="19"/>
      <c r="J19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customFormat="1" r="20" s="2" spans="1:26" x14ac:dyDescent="0.25">
      <c r="A20" s="4" t="s">
        <v>10</v>
      </c>
      <c r="B20" s="105"/>
      <c r="F20"/>
      <c r="H20" t="s">
        <v>146</v>
      </c>
      <c r="I20" s="19"/>
      <c r="J20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customFormat="1" r="21" s="2" spans="1:26" x14ac:dyDescent="0.25">
      <c r="A21"/>
      <c r="F21"/>
      <c r="H21" t="s">
        <v>126</v>
      </c>
      <c r="I21" s="19"/>
      <c r="J21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>
      <c r="A22"/>
      <c r="F22"/>
      <c r="H22" t="s">
        <v>147</v>
      </c>
      <c r="J22"/>
    </row>
    <row r="23">
      <c r="A23"/>
      <c r="F23"/>
      <c r="H23"/>
      <c r="J23"/>
    </row>
    <row r="24">
      <c r="A24"/>
      <c r="F24"/>
      <c r="J24"/>
    </row>
    <row customFormat="1" r="25" s="2" spans="1:26" x14ac:dyDescent="0.25">
      <c r="A25" s="6" t="s">
        <v>12</v>
      </c>
      <c r="B25" s="6" t="s">
        <v>13</v>
      </c>
      <c r="C25" s="7"/>
      <c r="D25" s="8"/>
      <c r="E25" s="6" t="s">
        <v>14</v>
      </c>
      <c r="F25" s="9"/>
      <c r="G25" s="9"/>
      <c r="H25" s="10" t="s">
        <v>15</v>
      </c>
      <c r="I25" s="21" t="s">
        <v>16</v>
      </c>
      <c r="J25" s="15" t="s">
        <v>17</v>
      </c>
      <c r="K25" s="25" t="s">
        <v>135</v>
      </c>
      <c r="L25" s="25" t="s">
        <v>136</v>
      </c>
      <c r="M25" s="25" t="s">
        <v>137</v>
      </c>
      <c r="N25" s="25" t="s">
        <v>138</v>
      </c>
      <c r="O25" s="25" t="s">
        <v>139</v>
      </c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customFormat="1" r="26" s="2" spans="1:26" x14ac:dyDescent="0.25">
      <c r="A26" s="11"/>
      <c r="F26"/>
      <c r="H26" s="12"/>
      <c r="I26" s="22"/>
      <c r="J26" s="127">
        <f>IF(H26*I26=0,"",H26*I26)</f>
      </c>
      <c r="K26" s="24"/>
      <c r="L26" s="24"/>
      <c r="M26" s="24"/>
      <c r="N26" s="24"/>
      <c r="O26">
        <f>IF(H26*N26=0,"",H26*N26)</f>
      </c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customFormat="1" r="27" s="2" spans="1:26" x14ac:dyDescent="0.25">
      <c r="A27" s="11"/>
      <c r="F27"/>
      <c r="H27" s="12"/>
      <c r="I27" s="22"/>
      <c r="J27" s="127">
        <f>IF(H27*I27=0,"",H27*I27)</f>
      </c>
      <c r="K27" s="24"/>
      <c r="L27" s="24"/>
      <c r="M27" s="24"/>
      <c r="N27" s="24"/>
      <c r="O27">
        <f>IF(H27*N27=0,"",H27*N27)</f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customFormat="1" r="28" s="2" spans="1:26" x14ac:dyDescent="0.25">
      <c r="A28" s="11"/>
      <c r="F28"/>
      <c r="H28" s="12"/>
      <c r="I28" s="22"/>
      <c r="J28" s="127">
        <f>IF(H28*I28=0,"",H28*I28)</f>
      </c>
      <c r="K28" s="24"/>
      <c r="L28" s="24"/>
      <c r="M28" s="24"/>
      <c r="N28" s="24"/>
      <c r="O28">
        <f>IF(H28*N28=0,"",H28*N28)</f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customFormat="1" r="29" s="2" spans="1:26" x14ac:dyDescent="0.25">
      <c r="A29" s="11"/>
      <c r="F29"/>
      <c r="H29" s="12"/>
      <c r="I29" s="22"/>
      <c r="J29" s="127">
        <f>IF(H29*I29=0,"",H29*I29)</f>
      </c>
      <c r="K29" s="24"/>
      <c r="L29" s="24"/>
      <c r="M29" s="24"/>
      <c r="N29" s="24"/>
      <c r="O29">
        <f>IF(H29*N29=0,"",H29*N29)</f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customFormat="1" r="30" s="2" spans="1:26" x14ac:dyDescent="0.25">
      <c r="A30" s="11"/>
      <c r="F30"/>
      <c r="H30" s="12"/>
      <c r="I30" s="22"/>
      <c r="J30" s="127">
        <f>IF(H30*I30=0,"",H30*I30)</f>
      </c>
      <c r="K30" s="24"/>
      <c r="L30" s="24"/>
      <c r="M30" s="24"/>
      <c r="N30" s="24"/>
      <c r="O30">
        <f>IF(H30*N30=0,"",H30*N30)</f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customFormat="1" r="31" s="2" spans="1:26" x14ac:dyDescent="0.25">
      <c r="A31" s="11"/>
      <c r="F31"/>
      <c r="H31" s="12"/>
      <c r="I31" s="22"/>
      <c r="J31" s="127">
        <f>IF(H31*I31=0,"",H31*I31)</f>
      </c>
      <c r="K31" s="24"/>
      <c r="L31" s="24"/>
      <c r="M31" s="24"/>
      <c r="N31" s="24"/>
      <c r="O31">
        <f>IF(H31*N31=0,"",H31*N31)</f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customFormat="1" r="32" s="2" spans="1:26" x14ac:dyDescent="0.25">
      <c r="A32" s="11"/>
      <c r="F32"/>
      <c r="H32" s="12"/>
      <c r="I32" s="22"/>
      <c r="J32" s="127">
        <f>IF(H32*I32=0,"",H32*I32)</f>
      </c>
      <c r="K32" s="24"/>
      <c r="L32" s="24"/>
      <c r="M32" s="24"/>
      <c r="N32" s="24"/>
      <c r="O32">
        <f>IF(H32*N32=0,"",H32*N32)</f>
      </c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customFormat="1" r="33" s="2" spans="1:26" x14ac:dyDescent="0.25">
      <c r="A33" s="11"/>
      <c r="F33"/>
      <c r="H33" s="12"/>
      <c r="I33" s="22"/>
      <c r="J33" s="127">
        <f>IF(H33*I33=0,"",H33*I33)</f>
      </c>
      <c r="K33" s="24"/>
      <c r="L33" s="24"/>
      <c r="M33" s="24"/>
      <c r="N33" s="24"/>
      <c r="O33">
        <f>IF(H33*N33=0,"",H33*N33)</f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customFormat="1" r="34" s="2" spans="1:26" x14ac:dyDescent="0.25">
      <c r="A34" s="11"/>
      <c r="F34"/>
      <c r="H34" s="12"/>
      <c r="I34" s="22"/>
      <c r="J34" s="127">
        <f>IF(H34*I34=0,"",H34*I34)</f>
      </c>
      <c r="K34" s="24"/>
      <c r="L34" s="24"/>
      <c r="M34" s="24"/>
      <c r="N34" s="24"/>
      <c r="O34">
        <f>IF(H34*N34=0,"",H34*N34)</f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customFormat="1" r="35" s="2" spans="1:26" x14ac:dyDescent="0.25">
      <c r="A35" s="11"/>
      <c r="F35"/>
      <c r="H35" s="12"/>
      <c r="I35" s="22"/>
      <c r="J35" s="127">
        <f>IF(H35*I35=0,"",H35*I35)</f>
      </c>
      <c r="K35" s="24"/>
      <c r="L35" s="24"/>
      <c r="M35" s="24"/>
      <c r="N35" s="24"/>
      <c r="O35">
        <f>IF(H35*N35=0,"",H35*N35)</f>
      </c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customFormat="1" r="36" s="2" spans="1:26" x14ac:dyDescent="0.25">
      <c r="A36" s="11"/>
      <c r="F36"/>
      <c r="H36" s="12"/>
      <c r="I36" s="22"/>
      <c r="J36" s="127">
        <f>IF(H36*I36=0,"",H36*I36)</f>
      </c>
      <c r="K36" s="24"/>
      <c r="L36" s="24"/>
      <c r="M36" s="24"/>
      <c r="N36" s="24"/>
      <c r="O36">
        <f>IF(H36*N36=0,"",H36*N36)</f>
      </c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customFormat="1" r="37" s="2" spans="1:26" x14ac:dyDescent="0.25">
      <c r="A37" s="11"/>
      <c r="F37"/>
      <c r="H37" s="12"/>
      <c r="I37" s="22"/>
      <c r="J37" s="127">
        <f>IF(H37*I37=0,"",H37*I37)</f>
      </c>
      <c r="K37" s="24"/>
      <c r="L37" s="24"/>
      <c r="M37" s="24"/>
      <c r="N37" s="24"/>
      <c r="O37">
        <f>IF(H37*N37=0,"",H37*N37)</f>
      </c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customFormat="1" r="38" s="2" spans="1:26" x14ac:dyDescent="0.25">
      <c r="A38" s="11"/>
      <c r="F38"/>
      <c r="H38" s="12"/>
      <c r="I38" s="22"/>
      <c r="J38" s="127">
        <f>IF(H38*I38=0,"",H38*I38)</f>
      </c>
      <c r="K38" s="24"/>
      <c r="L38" s="24"/>
      <c r="M38" s="24"/>
      <c r="N38" s="24"/>
      <c r="O38">
        <f>IF(H38*N38=0,"",H38*N38)</f>
      </c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customFormat="1" r="39" s="2" spans="1:26" x14ac:dyDescent="0.25">
      <c r="A39" s="11"/>
      <c r="F39"/>
      <c r="H39" s="12"/>
      <c r="I39" s="22"/>
      <c r="J39" s="127">
        <f>IF(H39*I39=0,"",H39*I39)</f>
      </c>
      <c r="K39" s="24"/>
      <c r="L39" s="24"/>
      <c r="M39" s="24"/>
      <c r="N39" s="24"/>
      <c r="O39">
        <f>IF(H39*N39=0,"",H39*N39)</f>
      </c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customFormat="1" r="40" s="2" spans="1:26" x14ac:dyDescent="0.25">
      <c r="A40" s="11"/>
      <c r="F40"/>
      <c r="H40" s="12"/>
      <c r="I40" s="22"/>
      <c r="J40" s="127">
        <f>IF(H40*I40=0,"",H40*I40)</f>
      </c>
      <c r="K40" s="24"/>
      <c r="L40" s="24"/>
      <c r="M40" s="24"/>
      <c r="N40" s="24"/>
      <c r="O40">
        <f>IF(H40*N40=0,"",H40*N40)</f>
      </c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customFormat="1" r="41" s="2" spans="1:26" x14ac:dyDescent="0.25">
      <c r="A41" s="11"/>
      <c r="F41"/>
      <c r="H41" s="12"/>
      <c r="I41" s="22"/>
      <c r="J41" s="127">
        <f>IF(H41*I41=0,"",H41*I41)</f>
      </c>
      <c r="K41" s="24"/>
      <c r="L41" s="24"/>
      <c r="M41" s="24"/>
      <c r="N41" s="24"/>
      <c r="O41">
        <f>IF(H41*N41=0,"",H41*N41)</f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customFormat="1" r="42" s="2" spans="1:26" x14ac:dyDescent="0.25">
      <c r="A42" s="11"/>
      <c r="F42"/>
      <c r="H42" s="12"/>
      <c r="I42" s="22"/>
      <c r="J42" s="127">
        <f>IF(H42*I42=0,"",H42*I42)</f>
      </c>
      <c r="K42" s="24"/>
      <c r="L42" s="24"/>
      <c r="M42" s="24"/>
      <c r="N42" s="24"/>
      <c r="O42">
        <f>IF(H42*N42=0,"",H42*N42)</f>
      </c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customFormat="1" r="43" s="2" spans="1:26" x14ac:dyDescent="0.25">
      <c r="A43" s="11"/>
      <c r="F43"/>
      <c r="H43" s="12"/>
      <c r="I43" s="22"/>
      <c r="J43" s="127">
        <f>IF(H43*I43=0,"",H43*I43)</f>
      </c>
      <c r="K43" s="24"/>
      <c r="L43" s="24"/>
      <c r="M43" s="24"/>
      <c r="N43" s="24"/>
      <c r="O43">
        <f>IF(H43*N43=0,"",H43*N43)</f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customFormat="1" r="44" s="2" spans="1:26" x14ac:dyDescent="0.25">
      <c r="A44" s="11"/>
      <c r="F44"/>
      <c r="H44" s="12"/>
      <c r="I44" s="22"/>
      <c r="J44" s="127">
        <f>IF(H44*I44=0,"",H44*I44)</f>
      </c>
      <c r="K44" s="24"/>
      <c r="L44" s="24"/>
      <c r="M44" s="24"/>
      <c r="N44" s="24"/>
      <c r="O44">
        <f>IF(H44*N44=0,"",H44*N44)</f>
      </c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customFormat="1" r="45" s="2" spans="1:26" x14ac:dyDescent="0.25">
      <c r="A45" s="11"/>
      <c r="F45"/>
      <c r="H45" s="12"/>
      <c r="I45" s="22"/>
      <c r="J45" s="127">
        <f>IF(H45*I45=0,"",H45*I45)</f>
      </c>
      <c r="K45" s="24"/>
      <c r="L45" s="24"/>
      <c r="M45" s="24"/>
      <c r="N45" s="24"/>
      <c r="O45">
        <f>IF(H45*N45=0,"",H45*N45)</f>
      </c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customFormat="1" r="46" s="2" spans="1:26" x14ac:dyDescent="0.25">
      <c r="A46" s="11"/>
      <c r="F46"/>
      <c r="H46" s="12"/>
      <c r="I46" s="22"/>
      <c r="J46" s="127">
        <f>IF(H46*I46=0,"",H46*I46)</f>
      </c>
      <c r="K46" s="24"/>
      <c r="L46" s="24"/>
      <c r="M46" s="24"/>
      <c r="N46" s="24"/>
      <c r="O46">
        <f>IF(H46*N46=0,"",H46*N46)</f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customFormat="1" r="47" s="2" spans="1:26" x14ac:dyDescent="0.25">
      <c r="A47" s="11"/>
      <c r="F47"/>
      <c r="H47" s="12"/>
      <c r="I47" s="22"/>
      <c r="J47" s="127">
        <f>IF(H47*I47=0,"",H47*I47)</f>
      </c>
      <c r="K47" s="24"/>
      <c r="L47" s="24"/>
      <c r="M47" s="24"/>
      <c r="N47" s="24"/>
      <c r="O47">
        <f>IF(H47*N47=0,"",H47*N47)</f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customFormat="1" r="48" s="2" spans="1:26" x14ac:dyDescent="0.25">
      <c r="A48" s="11"/>
      <c r="F48"/>
      <c r="H48" s="12"/>
      <c r="I48" s="22"/>
      <c r="J48" s="127">
        <f>IF(H48*I48=0,"",H48*I48)</f>
      </c>
      <c r="K48" s="24"/>
      <c r="L48" s="24"/>
      <c r="M48" s="24"/>
      <c r="N48" s="24"/>
      <c r="O48">
        <f>IF(H48*N48=0,"",H48*N48)</f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customFormat="1" r="49" s="2" spans="1:26" x14ac:dyDescent="0.25">
      <c r="A49" s="11"/>
      <c r="F49" t="s">
        <v>26</v>
      </c>
      <c r="H49" s="12"/>
      <c r="I49" s="22"/>
      <c r="J49" s="22">
        <f>SUM(J26:J48)</f>
      </c>
      <c r="K49" s="24"/>
      <c r="L49" s="24"/>
      <c r="M49" s="24"/>
      <c r="N49" s="24"/>
      <c r="O49">
        <f>IF(H49*N49=0,"",H49*N49)</f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>
      <c r="F50" t="s">
        <v>54</v>
      </c>
      <c r="O50">
        <f>IF(H50*N50=0,"",H50*N50)</f>
      </c>
    </row>
    <row customFormat="1" r="51" s="2" spans="1:26" x14ac:dyDescent="0.25">
      <c r="A51" s="11"/>
      <c r="F51" s="13" t="s">
        <v>18</v>
      </c>
      <c r="G51" s="13"/>
      <c r="H51" s="14"/>
      <c r="I51" s="15"/>
      <c r="J51" s="15">
        <f>SUM(J49,J50)</f>
      </c>
      <c r="K51" s="26"/>
      <c r="L51" s="26"/>
      <c r="M51" s="26"/>
      <c r="N51" s="26"/>
      <c r="O51" s="26">
        <f>SUM(O26:O50)</f>
      </c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x14ac:dyDescent="0.25">
      <c r="F52"/>
      <c r="H52" s="16"/>
      <c r="I52" s="23"/>
      <c r="J52" s="23"/>
    </row>
    <row r="53" spans="1:26" x14ac:dyDescent="0.25">
      <c r="F53"/>
      <c r="H53" s="16"/>
      <c r="I53" s="23"/>
      <c r="J53" s="23"/>
    </row>
    <row r="54" spans="1:26" x14ac:dyDescent="0.25">
      <c r="F54"/>
      <c r="H54" s="16"/>
      <c r="I54" s="23"/>
      <c r="J54" s="23"/>
    </row>
    <row r="55" spans="1:26" x14ac:dyDescent="0.25">
      <c r="F55"/>
      <c r="H55" s="16"/>
      <c r="I55" s="23"/>
      <c r="J55" s="23"/>
    </row>
    <row r="56" spans="1:26" x14ac:dyDescent="0.25">
      <c r="F56"/>
      <c r="H56" s="16"/>
      <c r="I56" s="23"/>
      <c r="J56" s="23"/>
    </row>
    <row r="57" spans="1:26" x14ac:dyDescent="0.25">
      <c r="F57"/>
      <c r="H57" s="16"/>
      <c r="I57" s="23"/>
      <c r="J57" s="23"/>
    </row>
    <row r="58" spans="1:26" x14ac:dyDescent="0.25">
      <c r="F58"/>
      <c r="H58" s="16"/>
      <c r="I58" s="23"/>
      <c r="J58" s="23"/>
    </row>
    <row r="59" spans="1:26" x14ac:dyDescent="0.25">
      <c r="F59"/>
      <c r="H59" s="16"/>
      <c r="I59" s="23"/>
      <c r="J59" s="23"/>
    </row>
    <row r="60" spans="8:10" x14ac:dyDescent="0.25">
      <c r="F60"/>
      <c r="H60" s="16"/>
      <c r="I60" s="23"/>
      <c r="J60" s="23"/>
    </row>
    <row r="61" spans="8:10" x14ac:dyDescent="0.25">
      <c r="F61"/>
      <c r="H61" s="16"/>
      <c r="I61" s="23"/>
      <c r="J61" s="23"/>
    </row>
    <row r="62" spans="8:10" x14ac:dyDescent="0.25">
      <c r="F62"/>
      <c r="H62" s="16"/>
      <c r="I62" s="23"/>
      <c r="J62" s="23"/>
    </row>
    <row r="63" spans="8:10" x14ac:dyDescent="0.25">
      <c r="F63"/>
      <c r="H63" s="16"/>
      <c r="I63" s="23"/>
      <c r="J63" s="23"/>
    </row>
    <row r="64" spans="8:10" x14ac:dyDescent="0.25">
      <c r="F64"/>
      <c r="H64" s="16"/>
      <c r="I64" s="23"/>
      <c r="J64" s="23"/>
    </row>
    <row r="65" spans="8:10" x14ac:dyDescent="0.25">
      <c r="F65"/>
      <c r="H65" s="16"/>
      <c r="I65" s="23"/>
      <c r="J65" s="23"/>
    </row>
    <row r="66" spans="8:10" x14ac:dyDescent="0.25">
      <c r="F66"/>
      <c r="H66" s="16"/>
      <c r="I66" s="23"/>
      <c r="J66" s="23"/>
    </row>
    <row r="67" spans="8:10" x14ac:dyDescent="0.25">
      <c r="F67"/>
      <c r="H67" s="16"/>
      <c r="I67" s="23"/>
      <c r="J67" s="23"/>
    </row>
    <row r="68" spans="8:10" x14ac:dyDescent="0.25">
      <c r="F68"/>
      <c r="H68" s="16"/>
      <c r="I68" s="23"/>
      <c r="J68" s="23"/>
    </row>
    <row r="69" spans="8:10" x14ac:dyDescent="0.25">
      <c r="F69"/>
      <c r="H69" s="16"/>
      <c r="I69" s="23"/>
      <c r="J69" s="23"/>
    </row>
    <row r="70" spans="8:10" x14ac:dyDescent="0.25">
      <c r="F70"/>
      <c r="H70" s="16"/>
      <c r="I70" s="23"/>
      <c r="J70" s="23"/>
    </row>
    <row r="71" spans="8:10" x14ac:dyDescent="0.25">
      <c r="F71"/>
      <c r="H71" s="16"/>
      <c r="I71" s="23"/>
      <c r="J71" s="23"/>
    </row>
    <row r="72" spans="8:10" x14ac:dyDescent="0.25">
      <c r="F72"/>
      <c r="H72" s="16"/>
      <c r="I72" s="23"/>
      <c r="J72" s="23"/>
    </row>
    <row r="73" spans="8:10" x14ac:dyDescent="0.25">
      <c r="F73"/>
      <c r="H73" s="16"/>
    </row>
    <row r="74" spans="8:10" x14ac:dyDescent="0.25">
      <c r="F74"/>
      <c r="H74" s="16"/>
    </row>
    <row r="75" spans="8:10" x14ac:dyDescent="0.25">
      <c r="F75"/>
      <c r="H75" s="16"/>
    </row>
    <row r="76" spans="8:8" x14ac:dyDescent="0.25">
      <c r="F76"/>
      <c r="H76" s="16"/>
    </row>
    <row r="77" spans="8:8" x14ac:dyDescent="0.25">
      <c r="F77"/>
      <c r="H77" s="16"/>
    </row>
    <row r="78" spans="8:8" x14ac:dyDescent="0.25">
      <c r="F78"/>
      <c r="H78" s="16"/>
    </row>
    <row r="79" spans="8:8" x14ac:dyDescent="0.25">
      <c r="F79"/>
      <c r="H79" s="16"/>
    </row>
    <row r="80" spans="8:8" x14ac:dyDescent="0.25">
      <c r="F80"/>
      <c r="H80" s="16"/>
    </row>
    <row r="81" spans="8:8" x14ac:dyDescent="0.25">
      <c r="F81"/>
      <c r="H81" s="16"/>
    </row>
    <row r="82" spans="8:8" x14ac:dyDescent="0.25">
      <c r="F82"/>
      <c r="H82" s="16"/>
    </row>
    <row r="83" spans="8:8" x14ac:dyDescent="0.25">
      <c r="F83"/>
      <c r="H83" s="16"/>
    </row>
    <row r="84" spans="8:8" x14ac:dyDescent="0.25">
      <c r="F84"/>
      <c r="H84" s="16"/>
    </row>
    <row r="85" spans="8:8" x14ac:dyDescent="0.25">
      <c r="F85"/>
      <c r="H85" s="16"/>
    </row>
  </sheetData>
  <sheetProtection objects="false" sheet="false"/>
  <conditionalFormatting sqref="K25:Z25 K51:Z51">
    <cfRule dxfId="4" priority="1" type="expression">
      <formula>K$25&lt;&gt;""</formula>
    </cfRule>
  </conditionalFormatting>
  <printOptions horizontalCentered="1"/>
  <pageMargins bottom="0.75" footer="0.3" header="0.3" left="0.45" right="0.45" top="1"/>
  <pageSetup fitToHeight="0" orientation="portrait" r:id="rId1" scale="68"/>
  <headerFooter>
    <oddHeader>&amp;C&amp;"-,Bold"&amp;16EXPORT HOME FURNISHINGS, INC.&amp;"-,Regular"
3635 PEACHTREE INDUSTRIAL BLVD SUITE  700 
TEL: (678) 646 0476 - FAX: (678) 646 0482</oddHeader>
    <oddFooter>Page &amp;P of &amp;N</oddFooter>
  </headerFooter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L86"/>
  <sheetViews>
    <sheetView showGridLines="0" topLeftCell="A49" workbookViewId="0" zoomScaleNormal="100">
      <selection sqref="A1:I1"/>
    </sheetView>
  </sheetViews>
  <sheetFormatPr defaultColWidth="8.75" defaultRowHeight="15.75" x14ac:dyDescent="0.25"/>
  <cols>
    <col min="1" max="6" customWidth="true" style="30" width="12.5" collapsed="true"/>
    <col min="7" max="7" customWidth="true" style="31" width="12.5" collapsed="true"/>
    <col min="8" max="9" customWidth="true" style="30" width="12.5" collapsed="true"/>
    <col min="10" max="11" customWidth="true" style="33" width="11.5" collapsed="true"/>
    <col min="12" max="13" customWidth="true" style="30" width="10.5" collapsed="true"/>
    <col min="14" max="16384" style="30" width="8.75" collapsed="true"/>
  </cols>
  <sheetData>
    <row customFormat="1" customHeight="1" ht="18" r="1" s="28" spans="1:11" x14ac:dyDescent="0.25">
      <c r="A1" s="123" t="s">
        <v>44</v>
      </c>
      <c r="B1" s="123"/>
      <c r="C1" s="123"/>
      <c r="D1" s="123"/>
      <c r="E1" s="123"/>
      <c r="F1" s="123"/>
      <c r="G1" s="123"/>
      <c r="H1" s="123"/>
      <c r="I1" s="123"/>
      <c r="J1" s="27"/>
      <c r="K1" s="27"/>
    </row>
    <row customHeight="1" ht="4.9000000000000004" r="2" spans="1:11" x14ac:dyDescent="0.25">
      <c r="A2" s="29"/>
      <c r="D2"/>
      <c r="I2" s="32"/>
    </row>
    <row customHeight="1" ht="13.9" r="3" spans="1:11" x14ac:dyDescent="0.25">
      <c r="A3" s="34" t="s">
        <v>19</v>
      </c>
      <c r="B3" t="s">
        <v>128</v>
      </c>
      <c r="D3" s="35" t="s">
        <v>20</v>
      </c>
      <c r="E3" t="s">
        <v>160</v>
      </c>
      <c r="F3" s="35"/>
      <c r="G3" s="37"/>
      <c r="H3" s="35" t="s">
        <v>3</v>
      </c>
      <c r="I3" t="s">
        <v>154</v>
      </c>
    </row>
    <row customHeight="1" ht="13.9" r="4" spans="1:11" x14ac:dyDescent="0.25">
      <c r="A4" s="38"/>
      <c r="B4" t="s">
        <v>129</v>
      </c>
      <c r="C4" s="36"/>
      <c r="D4" s="35" t="s">
        <v>9</v>
      </c>
      <c r="E4">
        <f>IF(container&lt;&gt;"",container,"")</f>
      </c>
      <c r="F4" s="38"/>
      <c r="G4" s="30"/>
      <c r="H4" s="29"/>
      <c r="I4" s="32"/>
    </row>
    <row customHeight="1" ht="13.9" r="5" spans="1:11" x14ac:dyDescent="0.25">
      <c r="A5" s="38"/>
      <c r="B5" t="s">
        <v>130</v>
      </c>
      <c r="C5" s="38"/>
      <c r="D5" s="35" t="s">
        <v>21</v>
      </c>
      <c r="E5" s="104" t="str">
        <f>IF(PI!B20&lt;&gt;0,PI!B20,"")</f>
        <v/>
      </c>
      <c r="F5" s="35"/>
      <c r="G5" s="37"/>
      <c r="H5" s="29"/>
      <c r="I5" s="32"/>
    </row>
    <row customHeight="1" ht="13.9" r="6" spans="1:11" x14ac:dyDescent="0.25">
      <c r="A6" t="s">
        <v>131</v>
      </c>
      <c r="B6" t="s">
        <v>132</v>
      </c>
      <c r="C6" s="38"/>
      <c r="D6" s="34"/>
      <c r="E6" s="38"/>
      <c r="F6" s="38"/>
      <c r="G6" s="38"/>
      <c r="H6" s="29"/>
      <c r="I6" s="32"/>
    </row>
    <row customHeight="1" ht="13.9" r="7" spans="1:11" x14ac:dyDescent="0.25">
      <c r="A7"/>
      <c r="B7" s="38"/>
      <c r="C7" s="38"/>
      <c r="D7"/>
      <c r="E7" s="35"/>
      <c r="F7" s="35"/>
      <c r="G7" s="38"/>
      <c r="H7" s="29"/>
      <c r="I7" s="32"/>
    </row>
    <row customHeight="1" ht="13.9" r="8" spans="1:11" x14ac:dyDescent="0.25">
      <c r="A8" s="39" t="s">
        <v>101</v>
      </c>
      <c r="B8" s="40"/>
      <c r="C8" s="40"/>
      <c r="D8" s="40"/>
      <c r="E8" s="40"/>
      <c r="F8" s="40"/>
      <c r="G8" s="41"/>
      <c r="H8" s="41"/>
      <c r="I8" s="41"/>
      <c r="J8" s="42"/>
      <c r="K8" s="42"/>
    </row>
    <row customHeight="1" ht="13.9" r="9" spans="1:11" x14ac:dyDescent="0.25">
      <c r="A9" s="40"/>
      <c r="B9" s="40"/>
      <c r="C9" s="40"/>
      <c r="D9" s="40"/>
      <c r="E9" s="40"/>
      <c r="F9" s="40"/>
      <c r="G9" s="41"/>
      <c r="H9" s="41"/>
      <c r="I9" s="41"/>
      <c r="J9" s="42"/>
      <c r="K9" s="42"/>
    </row>
    <row customHeight="1" ht="13.9" r="10" spans="1:11" x14ac:dyDescent="0.25">
      <c r="A10" s="43" t="s">
        <v>12</v>
      </c>
      <c r="B10" s="44" t="s">
        <v>13</v>
      </c>
      <c r="C10" s="44"/>
      <c r="D10" s="44" t="s">
        <v>14</v>
      </c>
      <c r="E10" s="44"/>
      <c r="F10" s="44"/>
      <c r="G10" s="45" t="s">
        <v>15</v>
      </c>
      <c r="H10" s="46" t="s">
        <v>22</v>
      </c>
      <c r="I10" s="47" t="s">
        <v>23</v>
      </c>
      <c r="J10" s="27" t="s">
        <v>24</v>
      </c>
      <c r="K10" s="27" t="s">
        <v>25</v>
      </c>
    </row>
    <row customFormat="1" customHeight="1" ht="13.9" r="11" s="51" spans="1:11" x14ac:dyDescent="0.25">
      <c r="A11" s="11">
        <f>IF(PI!A26&lt;&gt;"",PI!A26,"")</f>
      </c>
      <c r="B11">
        <f>IF(PI!B26&lt;&gt;"",PI!B26,"")</f>
      </c>
      <c r="C11">
        <f>IF(PI!C26&lt;&gt;"",PI!C26,"")</f>
      </c>
      <c r="D11">
        <f>IF(PI!E26&lt;&gt;"",PI!E26,"")</f>
      </c>
      <c r="E11" s="48"/>
      <c r="F11" s="48"/>
      <c r="G11" s="12">
        <f>IF(PI!H26&lt;&gt;"",PI!H26,"")</f>
      </c>
      <c r="H11" s="89"/>
      <c r="I11" s="90" t="str">
        <f>IFERROR(IF(G11*H11&lt;&gt;0,G11*H11,""),"")</f>
        <v/>
      </c>
      <c r="J11" s="50"/>
      <c r="K11" s="50" t="str">
        <f>IFERROR(IF(G11*J11&lt;&gt;0,G11*J11,""),"")</f>
        <v/>
      </c>
    </row>
    <row customFormat="1" customHeight="1" ht="13.9" r="12" s="55" spans="1:11" x14ac:dyDescent="0.25">
      <c r="A12" s="11">
        <f>IF(PI!A27&lt;&gt;"",PI!A27,"")</f>
      </c>
      <c r="B12">
        <f>IF(PI!B27&lt;&gt;"",PI!B27,"")</f>
      </c>
      <c r="C12">
        <f>IF(PI!C27&lt;&gt;"",PI!C27,"")</f>
      </c>
      <c r="D12">
        <f>IF(PI!E27&lt;&gt;"",PI!E27,"")</f>
      </c>
      <c r="E12" s="52"/>
      <c r="F12" s="52"/>
      <c r="G12" s="12">
        <f>IF(PI!H27&lt;&gt;"",PI!H27,"")</f>
      </c>
      <c r="H12" s="87"/>
      <c r="I12" s="90" t="str">
        <f ref="I12:I48" si="0" t="shared">IFERROR(IF(G12*H12&lt;&gt;0,G12*H12,""),"")</f>
        <v/>
      </c>
      <c r="J12" s="54"/>
      <c r="K12" s="50" t="str">
        <f ref="K12:K48" si="1" t="shared">IFERROR(IF(G12*J12&lt;&gt;0,G12*J12,""),"")</f>
        <v/>
      </c>
    </row>
    <row customFormat="1" customHeight="1" ht="15" r="13" s="51" spans="1:11" x14ac:dyDescent="0.25">
      <c r="A13" s="11">
        <f>IF(PI!A28&lt;&gt;"",PI!A28,"")</f>
      </c>
      <c r="B13">
        <f>IF(PI!B28&lt;&gt;"",PI!B28,"")</f>
      </c>
      <c r="C13">
        <f>IF(PI!C28&lt;&gt;"",PI!C28,"")</f>
      </c>
      <c r="D13">
        <f>IF(PI!E28&lt;&gt;"",PI!E28,"")</f>
      </c>
      <c r="E13" s="52"/>
      <c r="F13" s="52"/>
      <c r="G13" s="12">
        <f>IF(PI!H28&lt;&gt;"",PI!H28,"")</f>
      </c>
      <c r="H13" s="87"/>
      <c r="I13" s="90" t="str">
        <f si="0" t="shared"/>
        <v/>
      </c>
      <c r="J13" s="54"/>
      <c r="K13" s="50" t="str">
        <f si="1" t="shared"/>
        <v/>
      </c>
    </row>
    <row customFormat="1" r="14" s="51" spans="1:11" x14ac:dyDescent="0.25">
      <c r="A14" s="11">
        <f>IF(PI!A29&lt;&gt;"",PI!A29,"")</f>
      </c>
      <c r="B14">
        <f>IF(PI!B29&lt;&gt;"",PI!B29,"")</f>
      </c>
      <c r="C14">
        <f>IF(PI!C29&lt;&gt;"",PI!C29,"")</f>
      </c>
      <c r="D14">
        <f>IF(PI!E29&lt;&gt;"",PI!E29,"")</f>
      </c>
      <c r="E14" s="52"/>
      <c r="F14" s="52"/>
      <c r="G14" s="12">
        <f>IF(PI!H29&lt;&gt;"",PI!H29,"")</f>
      </c>
      <c r="H14" s="87"/>
      <c r="I14" s="90" t="str">
        <f si="0" t="shared"/>
        <v/>
      </c>
      <c r="J14" s="54"/>
      <c r="K14" s="50" t="str">
        <f si="1" t="shared"/>
        <v/>
      </c>
    </row>
    <row customFormat="1" r="15" s="51" spans="1:11" x14ac:dyDescent="0.25">
      <c r="A15" s="11">
        <f>IF(PI!A30&lt;&gt;"",PI!A30,"")</f>
      </c>
      <c r="B15">
        <f>IF(PI!B30&lt;&gt;"",PI!B30,"")</f>
      </c>
      <c r="C15">
        <f>IF(PI!C30&lt;&gt;"",PI!C30,"")</f>
      </c>
      <c r="D15">
        <f>IF(PI!E30&lt;&gt;"",PI!E30,"")</f>
      </c>
      <c r="E15" s="52"/>
      <c r="F15" s="52"/>
      <c r="G15" s="12">
        <f>IF(PI!H30&lt;&gt;"",PI!H30,"")</f>
      </c>
      <c r="H15" s="87"/>
      <c r="I15" s="90" t="str">
        <f si="0" t="shared"/>
        <v/>
      </c>
      <c r="J15" s="54"/>
      <c r="K15" s="50" t="str">
        <f si="1" t="shared"/>
        <v/>
      </c>
    </row>
    <row customFormat="1" r="16" s="51" spans="1:11" x14ac:dyDescent="0.25">
      <c r="A16" s="11">
        <f>IF(PI!A31&lt;&gt;"",PI!A31,"")</f>
      </c>
      <c r="B16">
        <f>IF(PI!B31&lt;&gt;"",PI!B31,"")</f>
      </c>
      <c r="C16">
        <f>IF(PI!C31&lt;&gt;"",PI!C31,"")</f>
      </c>
      <c r="D16">
        <f>IF(PI!E31&lt;&gt;"",PI!E31,"")</f>
      </c>
      <c r="E16" s="52"/>
      <c r="F16" s="52"/>
      <c r="G16" s="12">
        <f>IF(PI!H31&lt;&gt;"",PI!H31,"")</f>
      </c>
      <c r="H16" s="87"/>
      <c r="I16" s="90" t="str">
        <f si="0" t="shared"/>
        <v/>
      </c>
      <c r="J16" s="54"/>
      <c r="K16" s="50" t="str">
        <f si="1" t="shared"/>
        <v/>
      </c>
    </row>
    <row customFormat="1" r="17" s="51" spans="1:11" x14ac:dyDescent="0.25">
      <c r="A17" s="11">
        <f>IF(PI!A32&lt;&gt;"",PI!A32,"")</f>
      </c>
      <c r="B17">
        <f>IF(PI!B32&lt;&gt;"",PI!B32,"")</f>
      </c>
      <c r="C17">
        <f>IF(PI!C32&lt;&gt;"",PI!C32,"")</f>
      </c>
      <c r="D17">
        <f>IF(PI!E32&lt;&gt;"",PI!E32,"")</f>
      </c>
      <c r="E17" s="52"/>
      <c r="F17" s="52"/>
      <c r="G17" s="12">
        <f>IF(PI!H32&lt;&gt;"",PI!H32,"")</f>
      </c>
      <c r="H17" s="87"/>
      <c r="I17" s="90" t="str">
        <f si="0" t="shared"/>
        <v/>
      </c>
      <c r="J17" s="54"/>
      <c r="K17" s="50" t="str">
        <f si="1" t="shared"/>
        <v/>
      </c>
    </row>
    <row customFormat="1" r="18" s="51" spans="1:11" x14ac:dyDescent="0.25">
      <c r="A18" s="11">
        <f>IF(PI!A33&lt;&gt;"",PI!A33,"")</f>
      </c>
      <c r="B18">
        <f>IF(PI!B33&lt;&gt;"",PI!B33,"")</f>
      </c>
      <c r="C18">
        <f>IF(PI!C33&lt;&gt;"",PI!C33,"")</f>
      </c>
      <c r="D18">
        <f>IF(PI!E33&lt;&gt;"",PI!E33,"")</f>
      </c>
      <c r="E18" s="52"/>
      <c r="F18" s="52"/>
      <c r="G18" s="12">
        <f>IF(PI!H33&lt;&gt;"",PI!H33,"")</f>
      </c>
      <c r="H18" s="87"/>
      <c r="I18" s="90" t="str">
        <f si="0" t="shared"/>
        <v/>
      </c>
      <c r="J18" s="54"/>
      <c r="K18" s="50" t="str">
        <f si="1" t="shared"/>
        <v/>
      </c>
    </row>
    <row customFormat="1" r="19" s="51" spans="1:11" x14ac:dyDescent="0.25">
      <c r="A19" s="11">
        <f>IF(PI!A34&lt;&gt;"",PI!A34,"")</f>
      </c>
      <c r="B19">
        <f>IF(PI!B34&lt;&gt;"",PI!B34,"")</f>
      </c>
      <c r="C19">
        <f>IF(PI!C34&lt;&gt;"",PI!C34,"")</f>
      </c>
      <c r="D19">
        <f>IF(PI!E34&lt;&gt;"",PI!E34,"")</f>
      </c>
      <c r="E19" s="52"/>
      <c r="F19" s="52"/>
      <c r="G19" s="12">
        <f>IF(PI!H34&lt;&gt;"",PI!H34,"")</f>
      </c>
      <c r="H19" s="87"/>
      <c r="I19" s="90" t="str">
        <f si="0" t="shared"/>
        <v/>
      </c>
      <c r="J19" s="54"/>
      <c r="K19" s="50" t="str">
        <f si="1" t="shared"/>
        <v/>
      </c>
    </row>
    <row customFormat="1" r="20" s="51" spans="1:11" x14ac:dyDescent="0.25">
      <c r="A20" s="11">
        <f>IF(PI!A35&lt;&gt;"",PI!A35,"")</f>
      </c>
      <c r="B20">
        <f>IF(PI!B35&lt;&gt;"",PI!B35,"")</f>
      </c>
      <c r="C20">
        <f>IF(PI!C35&lt;&gt;"",PI!C35,"")</f>
      </c>
      <c r="D20">
        <f>IF(PI!E35&lt;&gt;"",PI!E35,"")</f>
      </c>
      <c r="E20" s="52"/>
      <c r="F20" s="52"/>
      <c r="G20" s="12">
        <f>IF(PI!H35&lt;&gt;"",PI!H35,"")</f>
      </c>
      <c r="H20" s="87"/>
      <c r="I20" s="90" t="str">
        <f si="0" t="shared"/>
        <v/>
      </c>
      <c r="J20" s="54"/>
      <c r="K20" s="50" t="str">
        <f si="1" t="shared"/>
        <v/>
      </c>
    </row>
    <row customFormat="1" r="21" s="51" spans="1:11" x14ac:dyDescent="0.25">
      <c r="A21" s="11">
        <f>IF(PI!A36&lt;&gt;"",PI!A36,"")</f>
      </c>
      <c r="B21">
        <f>IF(PI!B36&lt;&gt;"",PI!B36,"")</f>
      </c>
      <c r="C21">
        <f>IF(PI!C36&lt;&gt;"",PI!C36,"")</f>
      </c>
      <c r="D21">
        <f>IF(PI!E36&lt;&gt;"",PI!E36,"")</f>
      </c>
      <c r="E21" s="52"/>
      <c r="F21" s="52"/>
      <c r="G21" s="12">
        <f>IF(PI!H36&lt;&gt;"",PI!H36,"")</f>
      </c>
      <c r="H21" s="87"/>
      <c r="I21" s="90" t="str">
        <f si="0" t="shared"/>
        <v/>
      </c>
      <c r="J21" s="54"/>
      <c r="K21" s="50" t="str">
        <f si="1" t="shared"/>
        <v/>
      </c>
    </row>
    <row customFormat="1" r="22" s="51" spans="1:11" x14ac:dyDescent="0.25">
      <c r="A22" s="11">
        <f>IF(PI!A37&lt;&gt;"",PI!A37,"")</f>
      </c>
      <c r="B22">
        <f>IF(PI!B37&lt;&gt;"",PI!B37,"")</f>
      </c>
      <c r="C22">
        <f>IF(PI!C37&lt;&gt;"",PI!C37,"")</f>
      </c>
      <c r="D22">
        <f>IF(PI!E37&lt;&gt;"",PI!E37,"")</f>
      </c>
      <c r="E22" s="52"/>
      <c r="F22" s="52"/>
      <c r="G22" s="12">
        <f>IF(PI!H37&lt;&gt;"",PI!H37,"")</f>
      </c>
      <c r="H22" s="87"/>
      <c r="I22" s="90" t="str">
        <f si="0" t="shared"/>
        <v/>
      </c>
      <c r="J22" s="54"/>
      <c r="K22" s="50" t="str">
        <f si="1" t="shared"/>
        <v/>
      </c>
    </row>
    <row customFormat="1" r="23" s="51" spans="1:11" x14ac:dyDescent="0.25">
      <c r="A23" s="11">
        <f>IF(PI!A38&lt;&gt;"",PI!A38,"")</f>
      </c>
      <c r="B23">
        <f>IF(PI!B38&lt;&gt;"",PI!B38,"")</f>
      </c>
      <c r="C23">
        <f>IF(PI!C38&lt;&gt;"",PI!C38,"")</f>
      </c>
      <c r="D23">
        <f>IF(PI!E38&lt;&gt;"",PI!E38,"")</f>
      </c>
      <c r="E23" s="52"/>
      <c r="F23" s="52"/>
      <c r="G23" s="12">
        <f>IF(PI!H38&lt;&gt;"",PI!H38,"")</f>
      </c>
      <c r="H23" s="87"/>
      <c r="I23" s="90" t="str">
        <f si="0" t="shared"/>
        <v/>
      </c>
      <c r="J23" s="54"/>
      <c r="K23" s="50" t="str">
        <f si="1" t="shared"/>
        <v/>
      </c>
    </row>
    <row customFormat="1" r="24" s="51" spans="1:11" x14ac:dyDescent="0.25">
      <c r="A24" s="11">
        <f>IF(PI!A39&lt;&gt;"",PI!A39,"")</f>
      </c>
      <c r="B24">
        <f>IF(PI!B39&lt;&gt;"",PI!B39,"")</f>
      </c>
      <c r="C24">
        <f>IF(PI!C39&lt;&gt;"",PI!C39,"")</f>
      </c>
      <c r="D24">
        <f>IF(PI!E39&lt;&gt;"",PI!E39,"")</f>
      </c>
      <c r="E24" s="52"/>
      <c r="F24" s="52"/>
      <c r="G24" s="12">
        <f>IF(PI!H39&lt;&gt;"",PI!H39,"")</f>
      </c>
      <c r="H24" s="87"/>
      <c r="I24" s="90" t="str">
        <f si="0" t="shared"/>
        <v/>
      </c>
      <c r="J24" s="54"/>
      <c r="K24" s="50" t="str">
        <f si="1" t="shared"/>
        <v/>
      </c>
    </row>
    <row customFormat="1" r="25" s="51" spans="1:11" x14ac:dyDescent="0.25">
      <c r="A25" s="11">
        <f>IF(PI!A40&lt;&gt;"",PI!A40,"")</f>
      </c>
      <c r="B25">
        <f>IF(PI!B40&lt;&gt;"",PI!B40,"")</f>
      </c>
      <c r="C25">
        <f>IF(PI!C40&lt;&gt;"",PI!C40,"")</f>
      </c>
      <c r="D25">
        <f>IF(PI!E40&lt;&gt;"",PI!E40,"")</f>
      </c>
      <c r="E25" s="52"/>
      <c r="F25" s="52"/>
      <c r="G25" s="12">
        <f>IF(PI!H40&lt;&gt;"",PI!H40,"")</f>
      </c>
      <c r="H25" s="87"/>
      <c r="I25" s="90" t="str">
        <f si="0" t="shared"/>
        <v/>
      </c>
      <c r="J25" s="54"/>
      <c r="K25" s="50" t="str">
        <f si="1" t="shared"/>
        <v/>
      </c>
    </row>
    <row customFormat="1" r="26" s="51" spans="1:11" x14ac:dyDescent="0.25">
      <c r="A26" s="11">
        <f>IF(PI!A41&lt;&gt;"",PI!A41,"")</f>
      </c>
      <c r="B26">
        <f>IF(PI!B41&lt;&gt;"",PI!B41,"")</f>
      </c>
      <c r="C26">
        <f>IF(PI!C41&lt;&gt;"",PI!C41,"")</f>
      </c>
      <c r="D26">
        <f>IF(PI!E41&lt;&gt;"",PI!E41,"")</f>
      </c>
      <c r="E26" s="52"/>
      <c r="F26" s="52"/>
      <c r="G26" s="12">
        <f>IF(PI!H41&lt;&gt;"",PI!H41,"")</f>
      </c>
      <c r="H26" s="87"/>
      <c r="I26" s="90" t="str">
        <f si="0" t="shared"/>
        <v/>
      </c>
      <c r="J26" s="54"/>
      <c r="K26" s="50" t="str">
        <f si="1" t="shared"/>
        <v/>
      </c>
    </row>
    <row customFormat="1" r="27" s="51" spans="1:11" x14ac:dyDescent="0.25">
      <c r="A27" s="11">
        <f>IF(PI!A42&lt;&gt;"",PI!A42,"")</f>
      </c>
      <c r="B27">
        <f>IF(PI!B42&lt;&gt;"",PI!B42,"")</f>
      </c>
      <c r="C27">
        <f>IF(PI!C42&lt;&gt;"",PI!C42,"")</f>
      </c>
      <c r="D27">
        <f>IF(PI!E42&lt;&gt;"",PI!E42,"")</f>
      </c>
      <c r="E27" s="52"/>
      <c r="F27" s="52"/>
      <c r="G27" s="12">
        <f>IF(PI!H42&lt;&gt;"",PI!H42,"")</f>
      </c>
      <c r="H27" s="87"/>
      <c r="I27" s="90" t="str">
        <f si="0" t="shared"/>
        <v/>
      </c>
      <c r="J27" s="54"/>
      <c r="K27" s="50" t="str">
        <f si="1" t="shared"/>
        <v/>
      </c>
    </row>
    <row customFormat="1" r="28" s="51" spans="1:11" x14ac:dyDescent="0.25">
      <c r="A28" s="11">
        <f>IF(PI!A43&lt;&gt;"",PI!A43,"")</f>
      </c>
      <c r="B28">
        <f>IF(PI!B43&lt;&gt;"",PI!B43,"")</f>
      </c>
      <c r="C28">
        <f>IF(PI!C43&lt;&gt;"",PI!C43,"")</f>
      </c>
      <c r="D28">
        <f>IF(PI!E43&lt;&gt;"",PI!E43,"")</f>
      </c>
      <c r="E28" s="52"/>
      <c r="F28" s="52"/>
      <c r="G28" s="12">
        <f>IF(PI!H43&lt;&gt;"",PI!H43,"")</f>
      </c>
      <c r="H28" s="87"/>
      <c r="I28" s="90" t="str">
        <f si="0" t="shared"/>
        <v/>
      </c>
      <c r="J28" s="54"/>
      <c r="K28" s="50" t="str">
        <f si="1" t="shared"/>
        <v/>
      </c>
    </row>
    <row customFormat="1" r="29" s="51" spans="1:11" x14ac:dyDescent="0.25">
      <c r="A29" s="11">
        <f>IF(PI!A44&lt;&gt;"",PI!A44,"")</f>
      </c>
      <c r="B29">
        <f>IF(PI!B44&lt;&gt;"",PI!B44,"")</f>
      </c>
      <c r="C29">
        <f>IF(PI!C44&lt;&gt;"",PI!C44,"")</f>
      </c>
      <c r="D29">
        <f>IF(PI!E44&lt;&gt;"",PI!E44,"")</f>
      </c>
      <c r="E29" s="52"/>
      <c r="F29" s="52"/>
      <c r="G29" s="12">
        <f>IF(PI!H44&lt;&gt;"",PI!H44,"")</f>
      </c>
      <c r="H29" s="87"/>
      <c r="I29" s="90" t="str">
        <f si="0" t="shared"/>
        <v/>
      </c>
      <c r="J29" s="54"/>
      <c r="K29" s="50" t="str">
        <f si="1" t="shared"/>
        <v/>
      </c>
    </row>
    <row customFormat="1" r="30" s="51" spans="1:11" x14ac:dyDescent="0.25">
      <c r="A30" s="11">
        <f>IF(PI!A45&lt;&gt;"",PI!A45,"")</f>
      </c>
      <c r="B30">
        <f>IF(PI!B45&lt;&gt;"",PI!B45,"")</f>
      </c>
      <c r="C30">
        <f>IF(PI!C45&lt;&gt;"",PI!C45,"")</f>
      </c>
      <c r="D30">
        <f>IF(PI!E45&lt;&gt;"",PI!E45,"")</f>
      </c>
      <c r="E30" s="52"/>
      <c r="F30" s="52"/>
      <c r="G30" s="12">
        <f>IF(PI!H45&lt;&gt;"",PI!H45,"")</f>
      </c>
      <c r="H30" s="87"/>
      <c r="I30" s="90" t="str">
        <f si="0" t="shared"/>
        <v/>
      </c>
      <c r="J30" s="54"/>
      <c r="K30" s="50" t="str">
        <f si="1" t="shared"/>
        <v/>
      </c>
    </row>
    <row customFormat="1" r="31" s="51" spans="1:11" x14ac:dyDescent="0.25">
      <c r="A31" s="11">
        <f>IF(PI!A46&lt;&gt;"",PI!A46,"")</f>
      </c>
      <c r="B31">
        <f>IF(PI!B46&lt;&gt;"",PI!B46,"")</f>
      </c>
      <c r="C31">
        <f>IF(PI!C46&lt;&gt;"",PI!C46,"")</f>
      </c>
      <c r="D31">
        <f>IF(PI!E46&lt;&gt;"",PI!E46,"")</f>
      </c>
      <c r="E31" s="52"/>
      <c r="F31" s="52"/>
      <c r="G31" s="12">
        <f>IF(PI!H46&lt;&gt;"",PI!H46,"")</f>
      </c>
      <c r="H31" s="87"/>
      <c r="I31" s="90" t="str">
        <f si="0" t="shared"/>
        <v/>
      </c>
      <c r="J31" s="54"/>
      <c r="K31" s="50" t="str">
        <f si="1" t="shared"/>
        <v/>
      </c>
    </row>
    <row customFormat="1" r="32" s="51" spans="1:11" x14ac:dyDescent="0.25">
      <c r="A32" s="11">
        <f>IF(PI!A47&lt;&gt;"",PI!A47,"")</f>
      </c>
      <c r="B32">
        <f>IF(PI!B47&lt;&gt;"",PI!B47,"")</f>
      </c>
      <c r="C32">
        <f>IF(PI!C47&lt;&gt;"",PI!C47,"")</f>
      </c>
      <c r="D32">
        <f>IF(PI!E47&lt;&gt;"",PI!E47,"")</f>
      </c>
      <c r="E32" s="52"/>
      <c r="F32" s="52"/>
      <c r="G32" s="12">
        <f>IF(PI!H47&lt;&gt;"",PI!H47,"")</f>
      </c>
      <c r="H32" s="87"/>
      <c r="I32" s="90" t="str">
        <f si="0" t="shared"/>
        <v/>
      </c>
      <c r="J32" s="54"/>
      <c r="K32" s="50" t="str">
        <f si="1" t="shared"/>
        <v/>
      </c>
    </row>
    <row customFormat="1" r="33" s="51" spans="1:11" x14ac:dyDescent="0.25">
      <c r="A33" s="11">
        <f>IF(PI!A48&lt;&gt;"",PI!A48,"")</f>
      </c>
      <c r="B33">
        <f>IF(PI!B48&lt;&gt;"",PI!B48,"")</f>
      </c>
      <c r="C33">
        <f>IF(PI!C48&lt;&gt;"",PI!C48,"")</f>
      </c>
      <c r="D33">
        <f>IF(PI!E48&lt;&gt;"",PI!E48,"")</f>
      </c>
      <c r="E33" s="52"/>
      <c r="F33" s="52"/>
      <c r="G33" s="12">
        <f>IF(PI!H48&lt;&gt;"",PI!H48,"")</f>
      </c>
      <c r="H33" s="87"/>
      <c r="I33" s="90" t="str">
        <f si="0" t="shared"/>
        <v/>
      </c>
      <c r="J33" s="54"/>
      <c r="K33" s="50" t="str">
        <f si="1" t="shared"/>
        <v/>
      </c>
    </row>
    <row customFormat="1" r="34" s="51" spans="1:11" x14ac:dyDescent="0.25">
      <c r="A34" s="11">
        <f>IF(PI!A49&lt;&gt;"",PI!A49,"")</f>
      </c>
      <c r="B34">
        <f>IF(PI!B49&lt;&gt;"",PI!B49,"")</f>
      </c>
      <c r="C34">
        <f>IF(PI!C49&lt;&gt;"",PI!C49,"")</f>
      </c>
      <c r="D34">
        <f>IF(PI!E49&lt;&gt;"",PI!E49,"")</f>
      </c>
      <c r="E34" s="52"/>
      <c r="F34" s="52"/>
      <c r="G34" s="12">
        <f>IF(PI!H49&lt;&gt;"",PI!H49,"")</f>
      </c>
      <c r="H34" s="87"/>
      <c r="I34" s="90" t="str">
        <f si="0" t="shared"/>
        <v/>
      </c>
      <c r="J34" s="54"/>
      <c r="K34" s="50" t="str">
        <f si="1" t="shared"/>
        <v/>
      </c>
    </row>
    <row customFormat="1" r="35" s="51" spans="1:11" x14ac:dyDescent="0.25">
      <c r="A35" s="11">
        <f>IF(PI!A50&lt;&gt;"",PI!A50,"")</f>
      </c>
      <c r="B35">
        <f>IF(PI!B50&lt;&gt;"",PI!B50,"")</f>
      </c>
      <c r="C35">
        <f>IF(PI!C50&lt;&gt;"",PI!C50,"")</f>
      </c>
      <c r="D35">
        <f>IF(PI!E50&lt;&gt;"",PI!E50,"")</f>
      </c>
      <c r="E35" s="52"/>
      <c r="F35" s="52"/>
      <c r="G35" s="12">
        <f>IF(PI!H50&lt;&gt;"",PI!H50,"")</f>
      </c>
      <c r="H35" s="87"/>
      <c r="I35" s="90" t="str">
        <f si="0" t="shared"/>
        <v/>
      </c>
      <c r="J35" s="54"/>
      <c r="K35" s="50" t="str">
        <f si="1" t="shared"/>
        <v/>
      </c>
    </row>
    <row customFormat="1" r="36" s="51" spans="1:11" x14ac:dyDescent="0.25">
      <c r="A36" s="11">
        <f>IF(PI!A51&lt;&gt;"",PI!A51,"")</f>
      </c>
      <c r="B36">
        <f>IF(PI!B51&lt;&gt;"",PI!B51,"")</f>
      </c>
      <c r="C36">
        <f>IF(PI!C51&lt;&gt;"",PI!C51,"")</f>
      </c>
      <c r="D36">
        <f>IF(PI!E51&lt;&gt;"",PI!E51,"")</f>
      </c>
      <c r="E36" s="52"/>
      <c r="F36" s="52"/>
      <c r="G36" s="12">
        <f>IF(PI!H51&lt;&gt;"",PI!H51,"")</f>
      </c>
      <c r="H36" s="87"/>
      <c r="I36" s="90" t="str">
        <f si="0" t="shared"/>
        <v/>
      </c>
      <c r="J36" s="54"/>
      <c r="K36" s="50" t="str">
        <f si="1" t="shared"/>
        <v/>
      </c>
    </row>
    <row customFormat="1" r="37" s="51" spans="1:11" x14ac:dyDescent="0.25">
      <c r="A37" s="11">
        <f>IF(PI!A52&lt;&gt;"",PI!A52,"")</f>
      </c>
      <c r="B37">
        <f>IF(PI!B52&lt;&gt;"",PI!B52,"")</f>
      </c>
      <c r="C37">
        <f>IF(PI!C52&lt;&gt;"",PI!C52,"")</f>
      </c>
      <c r="D37">
        <f>IF(PI!E52&lt;&gt;"",PI!E52,"")</f>
      </c>
      <c r="E37" s="52"/>
      <c r="F37" s="52"/>
      <c r="G37" s="12">
        <f>IF(PI!H52&lt;&gt;"",PI!H52,"")</f>
      </c>
      <c r="H37" s="87"/>
      <c r="I37" s="90" t="str">
        <f si="0" t="shared"/>
        <v/>
      </c>
      <c r="J37" s="54"/>
      <c r="K37" s="50" t="str">
        <f si="1" t="shared"/>
        <v/>
      </c>
    </row>
    <row customFormat="1" r="38" s="51" spans="1:11" x14ac:dyDescent="0.25">
      <c r="A38" s="11">
        <f>IF(PI!A53&lt;&gt;"",PI!A53,"")</f>
      </c>
      <c r="B38">
        <f>IF(PI!B53&lt;&gt;"",PI!B53,"")</f>
      </c>
      <c r="C38">
        <f>IF(PI!C53&lt;&gt;"",PI!C53,"")</f>
      </c>
      <c r="D38">
        <f>IF(PI!E53&lt;&gt;"",PI!E53,"")</f>
      </c>
      <c r="E38" s="52"/>
      <c r="F38" s="52"/>
      <c r="G38" s="12">
        <f>IF(PI!H53&lt;&gt;"",PI!H53,"")</f>
      </c>
      <c r="H38" s="87"/>
      <c r="I38" s="90" t="str">
        <f si="0" t="shared"/>
        <v/>
      </c>
      <c r="J38" s="54"/>
      <c r="K38" s="50" t="str">
        <f si="1" t="shared"/>
        <v/>
      </c>
    </row>
    <row customFormat="1" r="39" s="51" spans="1:11" x14ac:dyDescent="0.25">
      <c r="A39" s="11">
        <f>IF(PI!A54&lt;&gt;"",PI!A54,"")</f>
      </c>
      <c r="B39">
        <f>IF(PI!B54&lt;&gt;"",PI!B54,"")</f>
      </c>
      <c r="C39">
        <f>IF(PI!C54&lt;&gt;"",PI!C54,"")</f>
      </c>
      <c r="D39">
        <f>IF(PI!E54&lt;&gt;"",PI!E54,"")</f>
      </c>
      <c r="E39" s="52"/>
      <c r="F39" s="52"/>
      <c r="G39" s="12">
        <f>IF(PI!H54&lt;&gt;"",PI!H54,"")</f>
      </c>
      <c r="H39" s="87"/>
      <c r="I39" s="90" t="str">
        <f si="0" t="shared"/>
        <v/>
      </c>
      <c r="J39" s="54"/>
      <c r="K39" s="50" t="str">
        <f si="1" t="shared"/>
        <v/>
      </c>
    </row>
    <row customFormat="1" r="40" s="51" spans="1:11" x14ac:dyDescent="0.25">
      <c r="A40" s="11">
        <f>IF(PI!A55&lt;&gt;"",PI!A55,"")</f>
      </c>
      <c r="B40">
        <f>IF(PI!B55&lt;&gt;"",PI!B55,"")</f>
      </c>
      <c r="C40">
        <f>IF(PI!C55&lt;&gt;"",PI!C55,"")</f>
      </c>
      <c r="D40">
        <f>IF(PI!E55&lt;&gt;"",PI!E55,"")</f>
      </c>
      <c r="E40" s="52"/>
      <c r="F40" s="52"/>
      <c r="G40" s="12">
        <f>IF(PI!H55&lt;&gt;"",PI!H55,"")</f>
      </c>
      <c r="H40" s="87"/>
      <c r="I40" s="90" t="str">
        <f si="0" t="shared"/>
        <v/>
      </c>
      <c r="J40" s="54"/>
      <c r="K40" s="50" t="str">
        <f si="1" t="shared"/>
        <v/>
      </c>
    </row>
    <row customFormat="1" r="41" s="51" spans="1:11" x14ac:dyDescent="0.25">
      <c r="A41" s="11">
        <f>IF(PI!A56&lt;&gt;"",PI!A56,"")</f>
      </c>
      <c r="B41">
        <f>IF(PI!B56&lt;&gt;"",PI!B56,"")</f>
      </c>
      <c r="C41">
        <f>IF(PI!C56&lt;&gt;"",PI!C56,"")</f>
      </c>
      <c r="D41">
        <f>IF(PI!E56&lt;&gt;"",PI!E56,"")</f>
      </c>
      <c r="E41" s="52"/>
      <c r="F41" s="52"/>
      <c r="G41" s="12">
        <f>IF(PI!H56&lt;&gt;"",PI!H56,"")</f>
      </c>
      <c r="H41" s="87"/>
      <c r="I41" s="90" t="str">
        <f si="0" t="shared"/>
        <v/>
      </c>
      <c r="J41" s="54"/>
      <c r="K41" s="50" t="str">
        <f si="1" t="shared"/>
        <v/>
      </c>
    </row>
    <row customFormat="1" r="42" s="51" spans="1:11" x14ac:dyDescent="0.25">
      <c r="A42" s="11">
        <f>IF(PI!A57&lt;&gt;"",PI!A57,"")</f>
      </c>
      <c r="B42">
        <f>IF(PI!B57&lt;&gt;"",PI!B57,"")</f>
      </c>
      <c r="C42">
        <f>IF(PI!C57&lt;&gt;"",PI!C57,"")</f>
      </c>
      <c r="D42">
        <f>IF(PI!E57&lt;&gt;"",PI!E57,"")</f>
      </c>
      <c r="E42" s="52"/>
      <c r="F42" s="52"/>
      <c r="G42" s="12">
        <f>IF(PI!H57&lt;&gt;"",PI!H57,"")</f>
      </c>
      <c r="H42" s="87"/>
      <c r="I42" s="90" t="str">
        <f si="0" t="shared"/>
        <v/>
      </c>
      <c r="J42" s="54"/>
      <c r="K42" s="50" t="str">
        <f si="1" t="shared"/>
        <v/>
      </c>
    </row>
    <row customFormat="1" r="43" s="51" spans="1:11" x14ac:dyDescent="0.25">
      <c r="A43" s="11">
        <f>IF(PI!A58&lt;&gt;"",PI!A58,"")</f>
      </c>
      <c r="B43">
        <f>IF(PI!B58&lt;&gt;"",PI!B58,"")</f>
      </c>
      <c r="C43">
        <f>IF(PI!C58&lt;&gt;"",PI!C58,"")</f>
      </c>
      <c r="D43">
        <f>IF(PI!E58&lt;&gt;"",PI!E58,"")</f>
      </c>
      <c r="E43" s="52"/>
      <c r="F43" s="52"/>
      <c r="G43" s="12">
        <f>IF(PI!H58&lt;&gt;"",PI!H58,"")</f>
      </c>
      <c r="H43" s="87"/>
      <c r="I43" s="90" t="str">
        <f si="0" t="shared"/>
        <v/>
      </c>
      <c r="J43" s="54"/>
      <c r="K43" s="50" t="str">
        <f si="1" t="shared"/>
        <v/>
      </c>
    </row>
    <row customFormat="1" r="44" s="51" spans="1:11" x14ac:dyDescent="0.25">
      <c r="A44" s="11">
        <f>IF(PI!A59&lt;&gt;"",PI!A59,"")</f>
      </c>
      <c r="B44">
        <f>IF(PI!B59&lt;&gt;"",PI!B59,"")</f>
      </c>
      <c r="C44">
        <f>IF(PI!C59&lt;&gt;"",PI!C59,"")</f>
      </c>
      <c r="D44">
        <f>IF(PI!E59&lt;&gt;"",PI!E59,"")</f>
      </c>
      <c r="E44" s="52"/>
      <c r="F44" s="52"/>
      <c r="G44" s="12">
        <f>IF(PI!H59&lt;&gt;"",PI!H59,"")</f>
      </c>
      <c r="H44" s="87"/>
      <c r="I44" s="90" t="str">
        <f si="0" t="shared"/>
        <v/>
      </c>
      <c r="J44" s="54"/>
      <c r="K44" s="50" t="str">
        <f si="1" t="shared"/>
        <v/>
      </c>
    </row>
    <row customFormat="1" r="45" s="51" spans="1:11" x14ac:dyDescent="0.25">
      <c r="A45" s="11">
        <f>IF(PI!A60&lt;&gt;"",PI!A60,"")</f>
      </c>
      <c r="B45">
        <f>IF(PI!B60&lt;&gt;"",PI!B60,"")</f>
      </c>
      <c r="C45">
        <f>IF(PI!C60&lt;&gt;"",PI!C60,"")</f>
      </c>
      <c r="D45">
        <f>IF(PI!E60&lt;&gt;"",PI!E60,"")</f>
      </c>
      <c r="E45" s="52"/>
      <c r="F45" s="52"/>
      <c r="G45" s="12">
        <f>IF(PI!H60&lt;&gt;"",PI!H60,"")</f>
      </c>
      <c r="H45" s="87"/>
      <c r="I45" s="90" t="str">
        <f si="0" t="shared"/>
        <v/>
      </c>
      <c r="J45" s="54"/>
      <c r="K45" s="50" t="str">
        <f si="1" t="shared"/>
        <v/>
      </c>
    </row>
    <row customFormat="1" r="46" s="51" spans="1:11" x14ac:dyDescent="0.25">
      <c r="A46" s="11">
        <f>IF(PI!A61&lt;&gt;"",PI!A61,"")</f>
      </c>
      <c r="B46">
        <f>IF(PI!B61&lt;&gt;"",PI!B61,"")</f>
      </c>
      <c r="C46">
        <f>IF(PI!C61&lt;&gt;"",PI!C61,"")</f>
      </c>
      <c r="D46">
        <f>IF(PI!E61&lt;&gt;"",PI!E61,"")</f>
      </c>
      <c r="E46" s="52"/>
      <c r="F46" s="52"/>
      <c r="G46" s="12">
        <f>IF(PI!H61&lt;&gt;"",PI!H61,"")</f>
      </c>
      <c r="H46" s="87"/>
      <c r="I46" s="90" t="str">
        <f si="0" t="shared"/>
        <v/>
      </c>
      <c r="J46" s="54"/>
      <c r="K46" s="50" t="str">
        <f si="1" t="shared"/>
        <v/>
      </c>
    </row>
    <row customFormat="1" r="47" s="51" spans="1:11" x14ac:dyDescent="0.25">
      <c r="A47" s="11">
        <f>IF(PI!A62&lt;&gt;"",PI!A62,"")</f>
      </c>
      <c r="B47">
        <f>IF(PI!B62&lt;&gt;"",PI!B62,"")</f>
      </c>
      <c r="C47">
        <f>IF(PI!C62&lt;&gt;"",PI!C62,"")</f>
      </c>
      <c r="D47">
        <f>IF(PI!E62&lt;&gt;"",PI!E62,"")</f>
      </c>
      <c r="E47" s="52"/>
      <c r="F47" s="52"/>
      <c r="G47" s="12">
        <f>IF(PI!H62&lt;&gt;"",PI!H62,"")</f>
      </c>
      <c r="H47" s="87"/>
      <c r="I47" s="90" t="str">
        <f si="0" t="shared"/>
        <v/>
      </c>
      <c r="J47" s="54"/>
      <c r="K47" s="50" t="str">
        <f si="1" t="shared"/>
        <v/>
      </c>
    </row>
    <row customFormat="1" r="48" s="51" spans="1:11" x14ac:dyDescent="0.25">
      <c r="A48" s="11">
        <f>IF(PI!A63&lt;&gt;"",PI!A63,"")</f>
      </c>
      <c r="B48">
        <f>IF(PI!B63&lt;&gt;"",PI!B63,"")</f>
      </c>
      <c r="C48">
        <f>IF(PI!C63&lt;&gt;"",PI!C63,"")</f>
      </c>
      <c r="D48">
        <f>IF(PI!E63&lt;&gt;"",PI!E63,"")</f>
      </c>
      <c r="E48" s="48"/>
      <c r="F48" s="48"/>
      <c r="G48" s="12">
        <f>IF(PI!H63&lt;&gt;"",PI!H63,"")</f>
      </c>
      <c r="H48" s="89"/>
      <c r="I48" s="90" t="str">
        <f si="0" t="shared"/>
        <v/>
      </c>
      <c r="J48" s="50"/>
      <c r="K48" s="50" t="str">
        <f si="1" t="shared"/>
        <v/>
      </c>
    </row>
    <row customFormat="1" r="49" s="51" spans="1:11" x14ac:dyDescent="0.25">
      <c r="A49" s="57"/>
      <c r="B49" s="57"/>
      <c r="C49" s="57"/>
      <c r="D49" s="58" t="s">
        <v>26</v>
      </c>
      <c r="E49" s="58"/>
      <c r="F49" s="58"/>
      <c r="G49" s="59"/>
      <c r="H49" s="86"/>
      <c r="I49" s="86">
        <f>SUM(I11:I48)</f>
        <v>0</v>
      </c>
      <c r="J49" s="60"/>
      <c r="K49" s="61"/>
    </row>
    <row customFormat="1" r="50" s="57" spans="1:11" x14ac:dyDescent="0.25">
      <c r="A50" s="51"/>
      <c r="B50" s="51"/>
      <c r="C50" s="51"/>
      <c r="D50" s="62" t="s">
        <v>27</v>
      </c>
      <c r="E50" s="62"/>
      <c r="F50" s="62"/>
      <c r="G50" s="63"/>
      <c r="H50" s="91" t="n">
        <v>0.08</v>
      </c>
      <c r="I50" s="87">
        <f>IFERROR(-H50*I49,"")</f>
        <v>0</v>
      </c>
      <c r="J50" s="64"/>
      <c r="K50" s="65"/>
    </row>
    <row customFormat="1" r="51" s="55" spans="1:11" x14ac:dyDescent="0.25">
      <c r="A51" s="51"/>
      <c r="B51" s="51"/>
      <c r="C51" s="51"/>
      <c r="D51" s="44" t="s">
        <v>18</v>
      </c>
      <c r="E51" s="44"/>
      <c r="F51" s="44"/>
      <c r="G51" s="45"/>
      <c r="H51" s="88"/>
      <c r="I51" s="88">
        <f>SUM(I49:I50)</f>
        <v>0</v>
      </c>
      <c r="J51" s="27"/>
      <c r="K51" s="27">
        <f>SUM(K11:K48)</f>
        <v>0</v>
      </c>
    </row>
    <row r="54" spans="1:11" x14ac:dyDescent="0.25">
      <c r="A54" s="66" t="str">
        <f>"TERMS AND CONDITIONS FOR PO # " &amp; $E$3</f>
        <v xml:space="preserve">TERMS AND CONDITIONS FOR PO # </v>
      </c>
      <c r="H54" s="67"/>
    </row>
    <row r="55" spans="1:11" x14ac:dyDescent="0.25">
      <c r="A55" s="66"/>
      <c r="H55" s="67"/>
    </row>
    <row r="56" spans="1:11" x14ac:dyDescent="0.25">
      <c r="A56" s="29" t="s">
        <v>96</v>
      </c>
    </row>
    <row r="58" spans="1:11" x14ac:dyDescent="0.25">
      <c r="A58" s="107" t="s">
        <v>97</v>
      </c>
      <c r="B58" s="85" t="s">
        <v>98</v>
      </c>
    </row>
    <row r="59" spans="1:11" x14ac:dyDescent="0.25">
      <c r="A59" s="67"/>
    </row>
    <row r="60" spans="1:11" x14ac:dyDescent="0.25">
      <c r="A60" s="107" t="s">
        <v>99</v>
      </c>
      <c r="B60" s="85" t="s">
        <v>105</v>
      </c>
    </row>
    <row r="61" spans="1:11" x14ac:dyDescent="0.25">
      <c r="A61" s="107"/>
      <c r="B61" s="85" t="s">
        <v>100</v>
      </c>
    </row>
    <row r="62" spans="1:11" x14ac:dyDescent="0.25">
      <c r="A62" s="107"/>
    </row>
    <row r="63" spans="1:11" x14ac:dyDescent="0.25">
      <c r="A63" s="107" t="s">
        <v>102</v>
      </c>
      <c r="B63" s="108" t="s">
        <v>103</v>
      </c>
      <c r="C63" s="68"/>
    </row>
    <row r="64" spans="1:11" x14ac:dyDescent="0.25">
      <c r="A64" s="107"/>
    </row>
    <row r="65" spans="1:3" x14ac:dyDescent="0.25">
      <c r="A65" s="107" t="s">
        <v>107</v>
      </c>
      <c r="B65" s="108" t="s">
        <v>104</v>
      </c>
      <c r="C65" s="69"/>
    </row>
    <row r="66" spans="1:3" x14ac:dyDescent="0.25">
      <c r="A66" s="67"/>
      <c r="B66" s="69"/>
      <c r="C66" s="69"/>
    </row>
    <row r="67" spans="1:3" x14ac:dyDescent="0.25">
      <c r="A67" s="107" t="s">
        <v>106</v>
      </c>
      <c r="B67" s="110" t="s">
        <v>108</v>
      </c>
      <c r="C67" s="69"/>
    </row>
    <row r="68" spans="1:3" x14ac:dyDescent="0.25">
      <c r="A68" s="67"/>
      <c r="B68" s="110" t="s">
        <v>109</v>
      </c>
      <c r="C68" s="69"/>
    </row>
    <row r="69" spans="1:3" x14ac:dyDescent="0.25">
      <c r="A69" s="67"/>
      <c r="B69" s="69"/>
      <c r="C69" s="69"/>
    </row>
    <row r="70" spans="1:3" x14ac:dyDescent="0.25">
      <c r="A70" s="107" t="s">
        <v>110</v>
      </c>
      <c r="B70" s="110" t="s">
        <v>111</v>
      </c>
      <c r="C70" s="69"/>
    </row>
    <row r="71" spans="1:3" x14ac:dyDescent="0.25">
      <c r="A71" s="69"/>
      <c r="B71" s="108" t="s">
        <v>112</v>
      </c>
      <c r="C71" s="68"/>
    </row>
    <row r="72" spans="1:3" x14ac:dyDescent="0.25">
      <c r="A72" s="67"/>
      <c r="B72" s="68"/>
      <c r="C72" s="68"/>
    </row>
    <row r="73" spans="1:3" x14ac:dyDescent="0.25">
      <c r="A73" s="107" t="s">
        <v>113</v>
      </c>
      <c r="B73" s="108" t="s">
        <v>114</v>
      </c>
      <c r="C73" s="68"/>
    </row>
    <row r="74" spans="1:3" x14ac:dyDescent="0.25">
      <c r="A74" s="69"/>
      <c r="B74" s="108" t="s">
        <v>115</v>
      </c>
      <c r="C74" s="68"/>
    </row>
    <row r="75" spans="1:3" x14ac:dyDescent="0.25">
      <c r="A75" s="67"/>
      <c r="B75" s="68"/>
      <c r="C75" s="68"/>
    </row>
    <row r="76" spans="1:3" x14ac:dyDescent="0.25">
      <c r="A76" s="111" t="s">
        <v>116</v>
      </c>
      <c r="B76" s="109" t="s">
        <v>117</v>
      </c>
      <c r="C76" s="68"/>
    </row>
    <row r="77" spans="1:3" x14ac:dyDescent="0.25">
      <c r="A77" s="67"/>
      <c r="B77" s="109" t="s">
        <v>118</v>
      </c>
      <c r="C77" s="68"/>
    </row>
    <row r="78" spans="1:3" x14ac:dyDescent="0.25">
      <c r="A78" s="67"/>
      <c r="C78" s="68"/>
    </row>
    <row r="79" spans="1:3" x14ac:dyDescent="0.25">
      <c r="A79" s="112" t="s">
        <v>119</v>
      </c>
      <c r="B79" s="113" t="s">
        <v>121</v>
      </c>
      <c r="C79" s="68"/>
    </row>
    <row r="80" spans="1:3" x14ac:dyDescent="0.25">
      <c r="A80" s="114"/>
      <c r="B80" s="115"/>
      <c r="C80" s="68"/>
    </row>
    <row r="81" spans="1:3" x14ac:dyDescent="0.25">
      <c r="A81" s="112" t="s">
        <v>120</v>
      </c>
      <c r="B81" s="113" t="s">
        <v>122</v>
      </c>
      <c r="C81" s="68"/>
    </row>
    <row r="82" spans="1:3" x14ac:dyDescent="0.25">
      <c r="B82" s="68"/>
      <c r="C82" s="68"/>
    </row>
    <row r="84" spans="1:3" x14ac:dyDescent="0.25">
      <c r="A84" s="67"/>
    </row>
    <row r="85" spans="1:3" x14ac:dyDescent="0.25">
      <c r="A85" s="67"/>
    </row>
    <row r="86" spans="1:3" x14ac:dyDescent="0.25">
      <c r="A86" s="67"/>
    </row>
  </sheetData>
  <sheetProtection objects="false" sheet="false"/>
  <mergeCells count="1">
    <mergeCell ref="A1:I1"/>
  </mergeCells>
  <conditionalFormatting sqref="E3">
    <cfRule dxfId="3" priority="4" type="expression">
      <formula>E3=""</formula>
    </cfRule>
  </conditionalFormatting>
  <conditionalFormatting sqref="E4:E5">
    <cfRule dxfId="2" priority="3" type="expression">
      <formula>E4=""</formula>
    </cfRule>
  </conditionalFormatting>
  <conditionalFormatting sqref="I3">
    <cfRule dxfId="1" priority="2" type="expression">
      <formula>I3=""</formula>
    </cfRule>
  </conditionalFormatting>
  <conditionalFormatting sqref="E6">
    <cfRule dxfId="0" priority="1" type="expression">
      <formula>AND(E6="",D6&lt;&gt;"")</formula>
    </cfRule>
  </conditionalFormatting>
  <printOptions horizontalCentered="1"/>
  <pageMargins bottom="0.25" footer="0.3" header="0.3" left="0.2" right="0.2" top="1.25"/>
  <pageSetup orientation="portrait" r:id="rId1" scale="84"/>
  <headerFooter>
    <oddHeader>&amp;C&amp;"Arial,Bold"
&amp;14EXPORT HOME FURNISHINGS, INC.&amp;"Arial,Regular"&amp;12
3635 PEACHTREE INDUSTRIAL BLVD SUITE  700 
TEL: (678) 646 0476 - FAX: (678) 646 0482</oddHeader>
    <oddFooter>Page &amp;P of &amp;N</oddFooter>
  </headerFooter>
  <rowBreaks count="1" manualBreakCount="1">
    <brk id="52" man="1" max="8"/>
  </rowBreaks>
  <colBreaks count="1" manualBreakCount="1">
    <brk id="9" man="1" max="1048575"/>
  </colBreaks>
  <drawing r:id="rId2"/>
  <legacyDrawing r:id="rId3"/>
  <mc:AlternateContent>
    <mc:Choice Requires="x14">
      <controls>
        <mc:AlternateContent>
          <mc:Choice Requires="x14">
            <control name="Button 4" r:id="rId4" shapeId="5">
              <controlPr autoFill="0" autoPict="0" defaultSize="0" macro="[0]!SaveAsPDF_Click" print="0">
                <anchor moveWithCells="1" sizeWithCells="1">
                  <from>
                    <xdr:col>12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name="Button 5" r:id="rId5" shapeId="1029">
              <controlPr autoFill="0" autoPict="0" defaultSize="0" macro="[0]!PrintPage_Click" print="0">
                <anchor moveWithCells="1" sizeWithCells="1">
                  <from>
                    <xdr:col>12</xdr:col>
                    <xdr:colOff>9525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>
          <mc:Choice Requires="x14">
            <control name="Button 6" r:id="rId6" shapeId="1030">
              <controlPr autoFill="0" autoPict="0" defaultSize="0" macro="[0]!EmailFactory_Click" print="0">
                <anchor moveWithCells="1" sizeWithCells="1">
                  <from>
                    <xdr:col>12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L45"/>
  <sheetViews>
    <sheetView showGridLines="0" view="pageBreakPreview" workbookViewId="0" zoomScaleNormal="100" zoomScaleSheetLayoutView="100">
      <selection activeCell="A12" sqref="A12"/>
    </sheetView>
  </sheetViews>
  <sheetFormatPr defaultColWidth="10.75" defaultRowHeight="18.75" x14ac:dyDescent="0.3"/>
  <cols>
    <col min="1" max="1" customWidth="true" style="70" width="15.125" collapsed="true"/>
    <col min="2" max="2" customWidth="true" style="70" width="6.25" collapsed="true"/>
    <col min="3" max="3" bestFit="true" customWidth="true" style="70" width="15.25" collapsed="true"/>
    <col min="4" max="4" customWidth="true" style="70" width="6.25" collapsed="true"/>
    <col min="5" max="5" customWidth="true" style="70" width="3.75" collapsed="true"/>
    <col min="6" max="6" customWidth="true" style="70" width="11.25" collapsed="true"/>
    <col min="7" max="7" customWidth="true" style="70" width="6.25" collapsed="true"/>
    <col min="8" max="8" customWidth="true" style="70" width="10.75" collapsed="true"/>
    <col min="9" max="9" customWidth="true" style="70" width="5.625" collapsed="true"/>
    <col min="10" max="10" bestFit="true" customWidth="true" style="70" width="2.5" collapsed="true"/>
    <col min="11" max="11" customWidth="true" style="70" width="11.125" collapsed="true"/>
    <col min="12" max="13" style="70" width="10.75" collapsed="true"/>
    <col min="14" max="15" style="72" width="10.75" collapsed="true"/>
    <col min="16" max="31" style="71" width="10.75" collapsed="true"/>
    <col min="32" max="16384" style="70" width="10.75" collapsed="true"/>
  </cols>
  <sheetData>
    <row ht="23.25" r="1" spans="1:11" x14ac:dyDescent="0.35">
      <c r="A1" s="81" t="s">
        <v>75</v>
      </c>
      <c r="B1" s="81"/>
      <c r="C1" s="81"/>
      <c r="D1" s="81"/>
      <c r="E1" s="81"/>
    </row>
    <row customHeight="1" ht="19.350000000000001" r="2" spans="1:11" x14ac:dyDescent="0.3">
      <c r="A2"/>
    </row>
    <row customHeight="1" ht="19.350000000000001" r="3" spans="1:11" x14ac:dyDescent="0.3">
      <c r="A3" s="77" t="s">
        <v>74</v>
      </c>
      <c r="B3" s="78">
        <f>IF(SCWITHDATE&lt;&gt;"",SCWITHDATE,"")</f>
      </c>
      <c r="C3" s="78"/>
      <c r="D3" s="78"/>
      <c r="E3" s="70" t="s">
        <v>126</v>
      </c>
      <c r="F3" s="77" t="s">
        <v>73</v>
      </c>
      <c r="G3" s="78">
        <f>IF(PO!E3&lt;&gt;"",PO!E3,"")</f>
      </c>
      <c r="H3" s="74"/>
      <c r="I3" s="70" t="s">
        <v>72</v>
      </c>
      <c r="J3" s="74" t="str">
        <f>IF(PO!I3&lt;&gt;"",PO!I3,"")</f>
      </c>
      <c r="K3" s="74"/>
    </row>
    <row customHeight="1" ht="19.350000000000001" r="4" spans="1:11" x14ac:dyDescent="0.3">
      <c r="A4" s="77" t="s">
        <v>71</v>
      </c>
      <c r="B4" s="79" t="s">
        <v>155</v>
      </c>
      <c r="C4" s="79"/>
      <c r="D4" s="79"/>
      <c r="E4" s="70" t="s">
        <v>126</v>
      </c>
      <c r="F4" s="77" t="s">
        <v>70</v>
      </c>
      <c r="G4" s="77"/>
      <c r="H4" s="74" t="s">
        <v>128</v>
      </c>
      <c r="I4" s="74"/>
      <c r="J4" s="74"/>
      <c r="K4" s="74"/>
    </row>
    <row customHeight="1" ht="19.350000000000001" r="5" spans="1:11" x14ac:dyDescent="0.3">
      <c r="A5" s="77" t="s">
        <v>69</v>
      </c>
      <c r="B5" s="79">
        <f>IF(customerPO&lt;&gt;"",customerPO,"")</f>
      </c>
      <c r="C5" s="79"/>
      <c r="D5" s="80"/>
      <c r="E5" s="70" t="s">
        <v>126</v>
      </c>
      <c r="F5" s="77" t="s">
        <v>81</v>
      </c>
      <c r="G5" s="78" t="s">
        <v>156</v>
      </c>
      <c r="H5" s="74"/>
      <c r="I5" s="74"/>
      <c r="J5" s="74"/>
      <c r="K5" s="74"/>
    </row>
    <row customHeight="1" ht="19.350000000000001" r="6" spans="1:11" x14ac:dyDescent="0.3">
      <c r="A6" s="77" t="s">
        <v>68</v>
      </c>
      <c r="B6" s="79">
        <f>IF(PaymentTerms&lt;&gt;"",PaymentTerms,"")</f>
      </c>
      <c r="C6" s="79"/>
      <c r="D6" s="79"/>
      <c r="E6" s="70" t="s">
        <v>126</v>
      </c>
      <c r="F6" s="77" t="s">
        <v>80</v>
      </c>
      <c r="G6" s="77"/>
      <c r="H6" s="74"/>
      <c r="I6" s="74"/>
      <c r="J6" s="74"/>
      <c r="K6" s="74"/>
    </row>
    <row customHeight="1" ht="19.350000000000001" r="7" spans="1:11" x14ac:dyDescent="0.3">
      <c r="A7" s="77" t="s">
        <v>66</v>
      </c>
      <c r="B7" s="78"/>
      <c r="C7" s="78"/>
      <c r="D7" s="78"/>
      <c r="E7" s="70" t="s">
        <v>126</v>
      </c>
      <c r="F7" s="77" t="s">
        <v>79</v>
      </c>
      <c r="G7" s="78"/>
      <c r="H7" s="74"/>
      <c r="I7" s="70" t="s">
        <v>67</v>
      </c>
      <c r="J7" s="74"/>
      <c r="K7" s="74"/>
    </row>
    <row customHeight="1" ht="19.350000000000001" r="8" spans="1:11" x14ac:dyDescent="0.3">
      <c r="A8" s="77" t="s">
        <v>76</v>
      </c>
      <c r="B8" s="78">
        <f>IF(DeliveryTerms&lt;&gt;"",DeliveryTerms,"")</f>
      </c>
      <c r="C8" s="78"/>
      <c r="D8" s="78"/>
      <c r="E8" s="70" t="s">
        <v>126</v>
      </c>
      <c r="F8" s="77" t="s">
        <v>78</v>
      </c>
      <c r="G8" s="78"/>
      <c r="H8" s="74"/>
      <c r="I8" s="70" t="s">
        <v>65</v>
      </c>
      <c r="J8" s="74"/>
      <c r="K8" s="74"/>
    </row>
    <row customHeight="1" ht="19.350000000000001" r="9" spans="1:11" x14ac:dyDescent="0.3">
      <c r="A9" s="77" t="s">
        <v>77</v>
      </c>
      <c r="B9" s="78" t="s">
        <v>149</v>
      </c>
      <c r="C9" s="78"/>
      <c r="D9" s="78"/>
      <c r="E9" s="70" t="s">
        <v>126</v>
      </c>
      <c r="F9" s="77" t="s">
        <v>64</v>
      </c>
      <c r="G9" s="78">
        <f>IF(container&lt;&gt;"",container,"")</f>
      </c>
      <c r="H9" s="74"/>
      <c r="I9" s="74"/>
      <c r="J9" s="74"/>
      <c r="K9" s="74"/>
    </row>
    <row customHeight="1" ht="19.350000000000001" r="10" spans="1:11" x14ac:dyDescent="0.3">
      <c r="A10" s="77"/>
      <c r="B10" s="76"/>
      <c r="C10" s="76"/>
      <c r="D10" s="76"/>
      <c r="F10" s="77"/>
      <c r="G10" s="76"/>
      <c r="H10" s="75"/>
      <c r="I10" s="75"/>
      <c r="J10" s="75"/>
      <c r="K10" s="75"/>
    </row>
    <row customHeight="1" ht="19.350000000000001" r="11" spans="1:11" x14ac:dyDescent="0.3"/>
    <row customHeight="1" ht="19.350000000000001" r="12" spans="1:11" x14ac:dyDescent="0.35">
      <c r="A12" s="116" t="s">
        <v>63</v>
      </c>
      <c r="B12" s="116"/>
      <c r="C12" s="116"/>
      <c r="D12" s="116"/>
      <c r="E12" s="117"/>
      <c r="F12" s="117"/>
      <c r="G12" s="117"/>
      <c r="H12" s="117"/>
      <c r="I12" s="117"/>
      <c r="J12" s="117"/>
      <c r="K12" s="117"/>
    </row>
    <row customHeight="1" ht="19.350000000000001" r="13" spans="1:11" x14ac:dyDescent="0.3">
      <c r="A13" s="117" t="s">
        <v>62</v>
      </c>
      <c r="B13" s="117"/>
      <c r="C13" s="118" t="s">
        <v>47</v>
      </c>
      <c r="D13" s="118"/>
      <c r="E13" s="117"/>
      <c r="F13" s="117" t="s">
        <v>58</v>
      </c>
      <c r="G13" s="118"/>
      <c r="H13" s="118"/>
      <c r="I13" s="118"/>
      <c r="J13" s="118"/>
      <c r="K13" s="118"/>
    </row>
    <row customHeight="1" ht="19.350000000000001" r="14" spans="1:11" x14ac:dyDescent="0.3">
      <c r="A14" s="117" t="s">
        <v>61</v>
      </c>
      <c r="B14" s="117"/>
      <c r="C14" s="119" t="s">
        <v>47</v>
      </c>
      <c r="D14" s="119"/>
      <c r="E14" s="117"/>
      <c r="F14" s="117" t="s">
        <v>58</v>
      </c>
      <c r="G14" s="119"/>
      <c r="H14" s="119"/>
      <c r="I14" s="119"/>
      <c r="J14" s="118"/>
      <c r="K14" s="118"/>
    </row>
    <row customHeight="1" ht="19.350000000000001" r="15" spans="1:11" x14ac:dyDescent="0.3">
      <c r="A15" s="117" t="s">
        <v>60</v>
      </c>
      <c r="B15" s="117"/>
      <c r="C15" s="119" t="s">
        <v>47</v>
      </c>
      <c r="D15" s="119"/>
      <c r="E15" s="117"/>
      <c r="F15" s="117" t="s">
        <v>58</v>
      </c>
      <c r="G15" s="119"/>
      <c r="H15" s="119"/>
      <c r="I15" s="119"/>
      <c r="J15" s="118"/>
      <c r="K15" s="118"/>
    </row>
    <row customHeight="1" ht="19.350000000000001" r="16" spans="1:11" x14ac:dyDescent="0.3">
      <c r="A16" s="117" t="s">
        <v>59</v>
      </c>
      <c r="B16" s="117"/>
      <c r="C16" s="118" t="s">
        <v>47</v>
      </c>
      <c r="D16" s="118"/>
      <c r="E16" s="117"/>
      <c r="F16" s="117" t="s">
        <v>58</v>
      </c>
      <c r="G16" s="118"/>
      <c r="H16" s="119"/>
      <c r="I16" s="119"/>
      <c r="J16" s="118"/>
      <c r="K16" s="118"/>
    </row>
    <row customHeight="1" ht="19.350000000000001" r="17" spans="1:11" x14ac:dyDescent="0.3">
      <c r="A17" s="117"/>
      <c r="B17" s="117"/>
      <c r="C17" s="117"/>
      <c r="D17" s="117"/>
      <c r="E17" s="117"/>
      <c r="F17" s="117"/>
      <c r="G17" s="117"/>
      <c r="H17" s="117"/>
      <c r="I17" s="117"/>
      <c r="J17" s="117"/>
      <c r="K17" s="117"/>
    </row>
    <row customHeight="1" ht="21" r="18" spans="1:11" x14ac:dyDescent="0.35">
      <c r="A18" s="116" t="s">
        <v>57</v>
      </c>
      <c r="B18" s="116"/>
      <c r="C18" s="116"/>
      <c r="D18" s="116"/>
      <c r="E18" s="117"/>
      <c r="F18" s="120"/>
      <c r="G18" s="118"/>
      <c r="H18" s="118"/>
      <c r="I18" s="118"/>
      <c r="J18" s="118"/>
      <c r="K18" s="118"/>
    </row>
    <row customHeight="1" ht="19.350000000000001" r="19" spans="1:11" x14ac:dyDescent="0.3">
      <c r="A19" s="117"/>
      <c r="B19" s="117"/>
      <c r="C19" s="117"/>
      <c r="D19" s="117"/>
      <c r="E19" s="117"/>
      <c r="F19" s="117"/>
      <c r="G19" s="117"/>
      <c r="H19" s="117"/>
      <c r="I19" s="117"/>
      <c r="J19" s="117"/>
      <c r="K19" s="117"/>
    </row>
    <row customHeight="1" ht="19.350000000000001" r="20" spans="1:11" x14ac:dyDescent="0.3">
      <c r="A20" s="121" t="s">
        <v>56</v>
      </c>
      <c r="B20" s="121"/>
      <c r="C20" s="121"/>
      <c r="D20" s="121"/>
      <c r="E20" s="117"/>
      <c r="F20" s="117"/>
      <c r="G20" s="117"/>
      <c r="H20" s="117"/>
      <c r="I20" s="117"/>
      <c r="J20" s="117"/>
      <c r="K20" s="117"/>
    </row>
    <row customHeight="1" ht="19.350000000000001" r="21" spans="1:11" x14ac:dyDescent="0.3">
      <c r="A21" s="117" t="s">
        <v>55</v>
      </c>
      <c r="B21" s="117"/>
      <c r="C21" s="118"/>
      <c r="D21" s="118"/>
      <c r="E21" s="117"/>
      <c r="F21" s="117" t="s">
        <v>50</v>
      </c>
      <c r="G21" s="118"/>
      <c r="H21" s="118"/>
      <c r="I21" s="118"/>
      <c r="J21" s="118"/>
      <c r="K21" s="118"/>
    </row>
    <row customHeight="1" ht="19.350000000000001" r="22" spans="1:11" x14ac:dyDescent="0.3">
      <c r="A22" s="117" t="s">
        <v>55</v>
      </c>
      <c r="B22" s="117"/>
      <c r="C22" s="119"/>
      <c r="D22" s="119"/>
      <c r="E22" s="117"/>
      <c r="F22" s="117" t="s">
        <v>50</v>
      </c>
      <c r="G22" s="119"/>
      <c r="H22" s="119"/>
      <c r="I22" s="119"/>
      <c r="J22" s="119"/>
      <c r="K22" s="119"/>
    </row>
    <row customHeight="1" ht="19.350000000000001" r="23" spans="1:11" x14ac:dyDescent="0.3">
      <c r="A23" s="117" t="s">
        <v>54</v>
      </c>
      <c r="B23" s="117"/>
      <c r="C23" s="119"/>
      <c r="D23" s="119"/>
      <c r="E23" s="117"/>
      <c r="F23" s="117" t="s">
        <v>50</v>
      </c>
      <c r="G23" s="119"/>
      <c r="H23" s="119"/>
      <c r="I23" s="119"/>
      <c r="J23" s="119"/>
      <c r="K23" s="119"/>
    </row>
    <row customHeight="1" ht="19.350000000000001" r="24" spans="1:11" x14ac:dyDescent="0.3">
      <c r="A24" s="117" t="s">
        <v>123</v>
      </c>
      <c r="B24" s="117"/>
      <c r="C24" s="119"/>
      <c r="D24" s="119"/>
      <c r="E24" s="117"/>
      <c r="F24" s="117" t="s">
        <v>50</v>
      </c>
      <c r="G24" s="119"/>
      <c r="H24" s="119"/>
      <c r="I24" s="119"/>
      <c r="J24" s="119"/>
      <c r="K24" s="119"/>
    </row>
    <row customHeight="1" ht="19.350000000000001" r="25" spans="1:11" x14ac:dyDescent="0.3">
      <c r="A25" s="117" t="s">
        <v>124</v>
      </c>
      <c r="B25" s="117"/>
      <c r="C25" s="119"/>
      <c r="D25" s="119"/>
      <c r="E25" s="117"/>
      <c r="F25" s="117" t="s">
        <v>50</v>
      </c>
      <c r="G25" s="119"/>
      <c r="H25" s="119"/>
      <c r="I25" s="119"/>
      <c r="J25" s="119"/>
      <c r="K25" s="119"/>
    </row>
    <row customHeight="1" ht="19.350000000000001" r="26" spans="1:11" x14ac:dyDescent="0.3">
      <c r="A26" s="117" t="s">
        <v>53</v>
      </c>
      <c r="B26" s="117"/>
      <c r="C26" s="119"/>
      <c r="D26" s="119"/>
      <c r="E26" s="117"/>
      <c r="F26" s="117" t="s">
        <v>50</v>
      </c>
      <c r="G26" s="119"/>
      <c r="H26" s="119"/>
      <c r="I26" s="119"/>
      <c r="J26" s="119"/>
      <c r="K26" s="119"/>
    </row>
    <row customHeight="1" ht="19.350000000000001" r="27" spans="1:11" x14ac:dyDescent="0.3">
      <c r="A27" s="117" t="s">
        <v>53</v>
      </c>
      <c r="B27" s="117"/>
      <c r="C27" s="119"/>
      <c r="D27" s="119"/>
      <c r="E27" s="117"/>
      <c r="F27" s="117" t="s">
        <v>50</v>
      </c>
      <c r="G27" s="119"/>
      <c r="H27" s="119"/>
      <c r="I27" s="119"/>
      <c r="J27" s="119"/>
      <c r="K27" s="119"/>
    </row>
    <row customHeight="1" ht="19.350000000000001" r="28" spans="1:11" x14ac:dyDescent="0.3">
      <c r="A28" s="117" t="s">
        <v>52</v>
      </c>
      <c r="B28" s="117"/>
      <c r="C28" s="119"/>
      <c r="D28" s="119"/>
      <c r="E28" s="117"/>
      <c r="F28" s="117" t="s">
        <v>50</v>
      </c>
      <c r="G28" s="119"/>
      <c r="H28" s="119"/>
      <c r="I28" s="119"/>
      <c r="J28" s="119"/>
      <c r="K28" s="119"/>
    </row>
    <row customHeight="1" ht="19.350000000000001" r="29" spans="1:11" x14ac:dyDescent="0.3">
      <c r="A29" s="117" t="s">
        <v>125</v>
      </c>
      <c r="B29" s="117"/>
      <c r="C29" s="119"/>
      <c r="D29" s="119"/>
      <c r="E29" s="117"/>
      <c r="F29" s="117" t="s">
        <v>50</v>
      </c>
      <c r="G29" s="119"/>
      <c r="H29" s="119"/>
      <c r="I29" s="119"/>
      <c r="J29" s="119"/>
      <c r="K29" s="119"/>
    </row>
    <row customHeight="1" ht="19.350000000000001" r="30" spans="1:11" x14ac:dyDescent="0.3">
      <c r="A30" s="117" t="s">
        <v>51</v>
      </c>
      <c r="B30" s="117"/>
      <c r="C30" s="119"/>
      <c r="D30" s="119"/>
      <c r="E30" s="117"/>
      <c r="F30" s="117" t="s">
        <v>50</v>
      </c>
      <c r="G30" s="119"/>
      <c r="H30" s="119"/>
      <c r="I30" s="119"/>
      <c r="J30" s="118"/>
      <c r="K30" s="118"/>
    </row>
    <row customHeight="1" ht="19.350000000000001" r="31" spans="1:11" x14ac:dyDescent="0.3">
      <c r="A31" s="117" t="s">
        <v>51</v>
      </c>
      <c r="B31" s="117"/>
      <c r="C31" s="119"/>
      <c r="D31" s="119"/>
      <c r="E31" s="117"/>
      <c r="F31" s="117" t="s">
        <v>50</v>
      </c>
      <c r="G31" s="119"/>
      <c r="H31" s="119"/>
      <c r="I31" s="119"/>
      <c r="J31" s="118"/>
      <c r="K31" s="118"/>
    </row>
    <row customHeight="1" ht="13.15" r="32" spans="1:11" x14ac:dyDescent="0.3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</row>
    <row customHeight="1" ht="13.15" r="33" spans="1:11" x14ac:dyDescent="0.3">
      <c r="A33" s="117"/>
      <c r="B33" s="117"/>
      <c r="C33" s="117"/>
      <c r="D33" s="117"/>
      <c r="E33" s="117"/>
      <c r="F33" s="117"/>
      <c r="G33" s="117"/>
      <c r="H33" s="117"/>
      <c r="I33" s="117"/>
      <c r="J33" s="117"/>
      <c r="K33" s="117"/>
    </row>
    <row r="34" spans="1:11" x14ac:dyDescent="0.3">
      <c r="A34" s="121" t="s">
        <v>49</v>
      </c>
      <c r="B34" s="117"/>
      <c r="C34" s="117"/>
      <c r="D34" s="117"/>
      <c r="E34" s="117"/>
      <c r="F34" s="120"/>
      <c r="G34" s="118" t="s">
        <v>47</v>
      </c>
      <c r="H34" s="118"/>
      <c r="I34" s="118"/>
      <c r="J34" s="118"/>
      <c r="K34" s="118"/>
    </row>
    <row customHeight="1" ht="24" r="35" spans="1:11" x14ac:dyDescent="0.3">
      <c r="A35" s="121" t="s">
        <v>48</v>
      </c>
      <c r="B35" s="117"/>
      <c r="C35" s="117"/>
      <c r="D35" s="117"/>
      <c r="E35" s="117"/>
      <c r="F35" s="120"/>
      <c r="G35" s="118" t="s">
        <v>47</v>
      </c>
      <c r="H35" s="118"/>
      <c r="I35" s="118"/>
      <c r="J35" s="118" t="s">
        <v>46</v>
      </c>
      <c r="K35" s="122"/>
    </row>
    <row customHeight="1" ht="9" r="36" spans="1:11" x14ac:dyDescent="0.3">
      <c r="A36" s="121"/>
      <c r="B36" s="117"/>
      <c r="C36" s="117"/>
      <c r="D36" s="117"/>
      <c r="E36" s="117"/>
      <c r="F36" s="117"/>
      <c r="G36" s="117"/>
      <c r="H36" s="117"/>
      <c r="I36" s="117"/>
      <c r="J36" s="117"/>
      <c r="K36" s="117"/>
    </row>
    <row customHeight="1" ht="9" r="37" spans="1:11" x14ac:dyDescent="0.3">
      <c r="A37" s="121"/>
      <c r="B37" s="117"/>
      <c r="C37" s="117"/>
      <c r="D37" s="117"/>
      <c r="E37" s="117"/>
      <c r="F37" s="117"/>
      <c r="G37" s="117"/>
      <c r="H37" s="117"/>
      <c r="I37" s="117"/>
      <c r="J37" s="117"/>
      <c r="K37" s="117"/>
    </row>
    <row customHeight="1" ht="9" r="38" spans="1:11" x14ac:dyDescent="0.3">
      <c r="A38" s="121"/>
      <c r="B38" s="117"/>
      <c r="C38" s="117"/>
      <c r="D38" s="117"/>
      <c r="E38" s="117"/>
      <c r="F38" s="117"/>
      <c r="G38" s="117"/>
      <c r="H38" s="117"/>
      <c r="I38" s="117"/>
      <c r="J38" s="117"/>
      <c r="K38" s="117"/>
    </row>
    <row customHeight="1" ht="19.350000000000001" r="39" spans="1:11" x14ac:dyDescent="0.3">
      <c r="A39" s="121" t="s">
        <v>45</v>
      </c>
      <c r="B39" s="118"/>
      <c r="C39" s="118"/>
      <c r="D39" s="118"/>
      <c r="E39" s="118"/>
      <c r="F39" s="118"/>
      <c r="G39" s="118"/>
      <c r="H39" s="118"/>
      <c r="I39" s="118"/>
      <c r="J39" s="118"/>
      <c r="K39" s="118"/>
    </row>
    <row customHeight="1" ht="19.350000000000001" r="40" spans="1:11" x14ac:dyDescent="0.3">
      <c r="A40" s="118"/>
      <c r="B40" s="119"/>
      <c r="C40" s="119"/>
      <c r="D40" s="119"/>
      <c r="E40" s="119"/>
      <c r="F40" s="119"/>
      <c r="G40" s="119"/>
      <c r="H40" s="119"/>
      <c r="I40" s="119"/>
      <c r="J40" s="119"/>
      <c r="K40" s="119"/>
    </row>
    <row customHeight="1" ht="19.350000000000001" r="41" spans="1:11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</row>
    <row customHeight="1" ht="19.350000000000001" r="42" spans="1:11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</row>
    <row customHeight="1" ht="19.350000000000001" r="43" spans="1:11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</row>
    <row customHeight="1" ht="19.350000000000001" r="44" spans="1:11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</row>
    <row customHeight="1" ht="19.350000000000001" r="45" spans="1:11" x14ac:dyDescent="0.3">
      <c r="A45" s="73"/>
      <c r="B45" s="73"/>
      <c r="C45" s="73"/>
      <c r="D45" s="73"/>
      <c r="E45" s="73"/>
      <c r="F45" s="73"/>
      <c r="G45" s="73"/>
    </row>
  </sheetData>
  <sheetProtection selectLockedCells="1" sheet="true"/>
  <pageMargins bottom="1" footer="0.5" header="0.5" left="1.25" right="1.25" top="1.5"/>
  <pageSetup fitToHeight="0" orientation="portrait" r:id="rId1" scale="74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CC"/>
    <pageSetUpPr fitToPage="1"/>
  </sheetPr>
  <dimension ref="A1:E42"/>
  <sheetViews>
    <sheetView tabSelected="1" workbookViewId="0" zoomScaleNormal="100">
      <selection activeCell="D9" sqref="D9"/>
    </sheetView>
  </sheetViews>
  <sheetFormatPr defaultColWidth="8.25" defaultRowHeight="14.25" x14ac:dyDescent="0.2"/>
  <cols>
    <col min="1" max="1" customWidth="true" style="93" width="9.125" collapsed="true"/>
    <col min="2" max="3" customWidth="true" style="92" width="9.125" collapsed="true"/>
    <col min="4" max="4" customWidth="true" style="92" width="44.75" collapsed="true"/>
    <col min="5" max="16384" style="92" width="8.25" collapsed="true"/>
  </cols>
  <sheetData>
    <row ht="15" r="1" spans="1:4" thickBot="1" x14ac:dyDescent="0.25">
      <c r="A1" s="103"/>
      <c r="B1" s="102"/>
      <c r="C1" s="102"/>
      <c r="D1" s="102"/>
    </row>
    <row r="2" spans="1:4" x14ac:dyDescent="0.2">
      <c r="A2" s="124" t="s">
        <v>95</v>
      </c>
      <c r="B2" s="124"/>
      <c r="C2" s="124"/>
      <c r="D2" s="124"/>
    </row>
    <row ht="15" r="3" spans="1:4" thickBot="1" x14ac:dyDescent="0.25">
      <c r="A3" s="125"/>
      <c r="B3" s="125"/>
      <c r="C3" s="125"/>
      <c r="D3" s="125"/>
    </row>
    <row r="4">
      <c r="A4"/>
      <c r="B4"/>
    </row>
    <row ht="15" r="5" spans="1:4" x14ac:dyDescent="0.2">
      <c r="A5" s="98" t="s">
        <v>3</v>
      </c>
      <c r="B5"/>
      <c r="D5">
        <f>'CI-PL'!J3</f>
      </c>
    </row>
    <row r="6">
      <c r="A6"/>
      <c r="B6"/>
    </row>
    <row ht="15" r="7" spans="1:4" x14ac:dyDescent="0.2">
      <c r="A7" s="98" t="s">
        <v>94</v>
      </c>
      <c r="B7"/>
      <c r="D7" s="92" t="s">
        <v>93</v>
      </c>
    </row>
    <row r="8" spans="1:4" x14ac:dyDescent="0.2">
      <c r="A8"/>
      <c r="B8"/>
      <c r="D8" s="92" t="s">
        <v>127</v>
      </c>
    </row>
    <row r="9" spans="1:4" x14ac:dyDescent="0.2">
      <c r="A9"/>
      <c r="B9"/>
      <c r="D9" s="92" t="s">
        <v>127</v>
      </c>
    </row>
    <row r="10">
      <c r="A10"/>
      <c r="B10"/>
    </row>
    <row ht="15" r="11" spans="1:4" x14ac:dyDescent="0.2">
      <c r="A11" s="98" t="s">
        <v>1</v>
      </c>
      <c r="B11"/>
      <c r="D11" t="s">
        <v>133</v>
      </c>
    </row>
    <row r="12">
      <c r="A12"/>
      <c r="B12"/>
      <c r="D12" t="s">
        <v>133</v>
      </c>
    </row>
    <row r="13">
      <c r="A13"/>
      <c r="B13"/>
      <c r="D13" t="s">
        <v>133</v>
      </c>
    </row>
    <row r="14">
      <c r="A14"/>
      <c r="B14"/>
      <c r="D14" t="s">
        <v>133</v>
      </c>
    </row>
    <row r="15">
      <c r="A15"/>
      <c r="B15"/>
      <c r="D15" t="s">
        <v>133</v>
      </c>
    </row>
    <row r="16">
      <c r="A16"/>
      <c r="B16"/>
      <c r="D16" t="s">
        <v>133</v>
      </c>
    </row>
    <row r="17">
      <c r="A17"/>
      <c r="B17"/>
      <c r="D17" t="s">
        <v>133</v>
      </c>
    </row>
    <row r="18">
      <c r="A18"/>
      <c r="B18"/>
      <c r="D18" t="s">
        <v>133</v>
      </c>
    </row>
    <row r="19">
      <c r="A19"/>
      <c r="B19"/>
      <c r="D19"/>
    </row>
    <row customFormat="1" r="20" s="99" spans="1:4" x14ac:dyDescent="0.2">
      <c r="A20" s="100"/>
      <c r="B20"/>
    </row>
    <row r="21" spans="1:4" x14ac:dyDescent="0.2">
      <c r="A21" s="98" t="s">
        <v>92</v>
      </c>
      <c r="B21"/>
      <c r="D21" t="s">
        <v>134</v>
      </c>
    </row>
    <row r="22">
      <c r="A22"/>
      <c r="B22"/>
      <c r="D22" t="s">
        <v>134</v>
      </c>
    </row>
    <row r="23">
      <c r="A23"/>
      <c r="B23"/>
      <c r="D23" t="s">
        <v>134</v>
      </c>
    </row>
    <row r="24">
      <c r="A24"/>
      <c r="B24"/>
      <c r="D24" t="s">
        <v>134</v>
      </c>
    </row>
    <row r="25">
      <c r="A25"/>
      <c r="B25"/>
      <c r="D25" t="s">
        <v>134</v>
      </c>
    </row>
    <row r="26">
      <c r="A26"/>
      <c r="B26"/>
      <c r="D26" t="s">
        <v>134</v>
      </c>
    </row>
    <row r="27">
      <c r="A27"/>
      <c r="B27"/>
      <c r="D27" t="s">
        <v>134</v>
      </c>
    </row>
    <row r="28">
      <c r="A28"/>
      <c r="B28"/>
      <c r="D28" t="s">
        <v>134</v>
      </c>
    </row>
    <row r="29">
      <c r="A29"/>
      <c r="B29"/>
      <c r="D29"/>
    </row>
    <row r="30">
      <c r="A30"/>
      <c r="B30"/>
    </row>
    <row r="31" spans="1:4" x14ac:dyDescent="0.2">
      <c r="A31" s="98" t="s">
        <v>91</v>
      </c>
      <c r="B31"/>
      <c r="D31" s="97"/>
    </row>
    <row r="32">
      <c r="A32"/>
      <c r="B32"/>
    </row>
    <row r="33" spans="1:4" x14ac:dyDescent="0.2">
      <c r="A33" s="98" t="s">
        <v>90</v>
      </c>
      <c r="B33"/>
      <c r="D33" t="s">
        <v>134</v>
      </c>
    </row>
    <row r="34" spans="1:4" x14ac:dyDescent="0.2">
      <c r="A34" s="98"/>
      <c r="B34"/>
    </row>
    <row r="35" spans="1:4" x14ac:dyDescent="0.2">
      <c r="A35" s="98" t="s">
        <v>89</v>
      </c>
      <c r="B35"/>
    </row>
    <row r="36">
      <c r="B36"/>
    </row>
    <row r="37" spans="1:4" x14ac:dyDescent="0.2">
      <c r="B37" s="95" t="s">
        <v>88</v>
      </c>
      <c r="D37">
        <f>'CI-PL'!E13</f>
      </c>
    </row>
    <row r="38" spans="1:4" x14ac:dyDescent="0.2">
      <c r="B38" s="95" t="s">
        <v>87</v>
      </c>
      <c r="D38">
        <f>'CI-PL'!E15</f>
      </c>
    </row>
    <row r="39" spans="1:4" x14ac:dyDescent="0.2">
      <c r="B39" s="95" t="s">
        <v>86</v>
      </c>
      <c r="D39" s="94"/>
    </row>
    <row r="40" spans="1:4" x14ac:dyDescent="0.2">
      <c r="B40" s="95" t="s">
        <v>85</v>
      </c>
      <c r="D40">
        <f>SUBSTITUTE('CI-PL'!B18,"1X","")</f>
      </c>
    </row>
    <row r="41" spans="1:4" x14ac:dyDescent="0.2">
      <c r="B41" s="95" t="s">
        <v>84</v>
      </c>
      <c r="D41" s="96"/>
    </row>
    <row r="42" spans="1:4" x14ac:dyDescent="0.2">
      <c r="B42" s="95" t="s">
        <v>83</v>
      </c>
      <c r="D42" s="94"/>
    </row>
  </sheetData>
  <mergeCells count="1">
    <mergeCell ref="A2:D3"/>
  </mergeCells>
  <printOptions horizontalCentered="1"/>
  <pageMargins bottom="0.75" footer="0.3" header="0.3" left="0.7" right="0.7" top="0.75"/>
  <pageSetup fitToHeight="0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E15"/>
  <sheetViews>
    <sheetView showGridLines="0" workbookViewId="0">
      <selection activeCell="C4" sqref="C4"/>
    </sheetView>
  </sheetViews>
  <sheetFormatPr defaultColWidth="11" defaultRowHeight="15.75" x14ac:dyDescent="0.25"/>
  <sheetData>
    <row r="1">
      <c r="C1"/>
    </row>
    <row r="2">
      <c r="C2"/>
    </row>
    <row r="3" spans="3:4" x14ac:dyDescent="0.25">
      <c r="C3" t="s">
        <v>28</v>
      </c>
      <c r="D3" t="s">
        <v>157</v>
      </c>
    </row>
    <row r="4" spans="3:4" x14ac:dyDescent="0.25">
      <c r="C4" t="s">
        <v>29</v>
      </c>
      <c r="D4" t="s">
        <v>157</v>
      </c>
    </row>
    <row r="5" spans="3:4" x14ac:dyDescent="0.25">
      <c r="C5" t="s">
        <v>30</v>
      </c>
      <c r="D5" t="s">
        <v>158</v>
      </c>
    </row>
    <row r="6" spans="3:4" x14ac:dyDescent="0.25">
      <c r="C6" t="s">
        <v>38</v>
      </c>
      <c r="D6" t="s">
        <v>160</v>
      </c>
    </row>
    <row r="7">
      <c r="C7"/>
    </row>
    <row r="8" spans="3:4" x14ac:dyDescent="0.25">
      <c r="C8" t="s">
        <v>31</v>
      </c>
      <c r="D8" t="s">
        <v>159</v>
      </c>
    </row>
    <row r="9" spans="3:4" x14ac:dyDescent="0.25">
      <c r="C9" t="s">
        <v>32</v>
      </c>
    </row>
    <row r="10" spans="3:4" x14ac:dyDescent="0.25">
      <c r="C10" t="s">
        <v>33</v>
      </c>
      <c r="D10" t="s">
        <v>161</v>
      </c>
    </row>
    <row r="11" spans="3:4" x14ac:dyDescent="0.25">
      <c r="C11" t="s">
        <v>34</v>
      </c>
    </row>
    <row r="12" spans="3:4" x14ac:dyDescent="0.25">
      <c r="C12" t="s">
        <v>35</v>
      </c>
      <c r="D12" t="s">
        <v>40</v>
      </c>
    </row>
    <row r="13" spans="3:4" x14ac:dyDescent="0.25">
      <c r="C13" t="s">
        <v>36</v>
      </c>
    </row>
    <row r="14" spans="3:4" x14ac:dyDescent="0.25">
      <c r="C14" t="s">
        <v>37</v>
      </c>
      <c r="D14" t="s">
        <v>41</v>
      </c>
    </row>
    <row r="15" spans="3:4" x14ac:dyDescent="0.25">
      <c r="C15" t="s">
        <v>42</v>
      </c>
    </row>
  </sheetData>
  <sheetProtection algorithmName="SHA-512" hashValue="L1+8Y5kIbheQohuAtRTNqpfm4a5qDj1aIxOG/KzElo7lenTXL+vj0MjXLI1TrkDvstWQoFmtsj13F2+laG73PA==" objects="1" saltValue="m8ZZcniCA4BF2HTYW7uRtw==" scenarios="1" sheet="false" spinCount="100000"/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5"/>
  <sheetViews>
    <sheetView tabSelected="false" workbookViewId="0" zoomScale="85" zoomScaleNormal="85"/>
  </sheetViews>
  <sheetFormatPr defaultColWidth="10.75" defaultRowHeight="15.75" x14ac:dyDescent="0.25"/>
  <cols>
    <col min="1" max="1" customWidth="true" style="1" width="18.25" collapsed="true"/>
    <col min="2" max="8" customWidth="true" style="1" width="12.5" collapsed="true"/>
    <col min="9" max="10" customWidth="true" style="18" width="12.5" collapsed="true"/>
    <col min="11" max="26" customWidth="true" style="24" width="12.5" collapsed="true"/>
    <col min="27" max="16384" style="1" width="10.75" collapsed="true"/>
  </cols>
  <sheetData>
    <row ht="21" r="1" spans="1:26" x14ac:dyDescent="0.25">
      <c r="A1" s="17" t="s">
        <v>0</v>
      </c>
      <c r="F1"/>
      <c r="G1"/>
      <c r="J1"/>
    </row>
    <row customFormat="1" customHeight="1" ht="15.4" r="2" s="2" spans="1:26" x14ac:dyDescent="0.25">
      <c r="A2"/>
      <c r="F2"/>
      <c r="G2"/>
      <c r="I2" s="19"/>
      <c r="J2" s="1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customFormat="1" customHeight="1" ht="15.4" r="3" s="2" spans="1:26" x14ac:dyDescent="0.25">
      <c r="A3" s="3" t="s">
        <v>1</v>
      </c>
      <c r="B3" t="s">
        <v>133</v>
      </c>
      <c r="E3" s="3" t="s">
        <v>2</v>
      </c>
      <c r="F3" t="s">
        <v>134</v>
      </c>
      <c r="G3"/>
      <c r="I3" s="20" t="s">
        <v>3</v>
      </c>
      <c r="J3" t="s">
        <v>154</v>
      </c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>
      <c r="A4"/>
      <c r="B4" t="s">
        <v>133</v>
      </c>
      <c r="E4"/>
      <c r="F4" t="s">
        <v>134</v>
      </c>
      <c r="G4"/>
      <c r="J4"/>
    </row>
    <row r="5">
      <c r="A5"/>
      <c r="B5" t="s">
        <v>133</v>
      </c>
      <c r="E5"/>
      <c r="F5" t="s">
        <v>134</v>
      </c>
      <c r="G5"/>
      <c r="J5"/>
    </row>
    <row r="6">
      <c r="A6"/>
      <c r="B6" t="s">
        <v>133</v>
      </c>
      <c r="E6"/>
      <c r="F6" t="s">
        <v>134</v>
      </c>
      <c r="G6"/>
      <c r="J6"/>
    </row>
    <row r="7">
      <c r="A7"/>
      <c r="B7" t="s">
        <v>133</v>
      </c>
      <c r="E7"/>
      <c r="F7" t="s">
        <v>134</v>
      </c>
      <c r="G7"/>
      <c r="J7"/>
    </row>
    <row r="8">
      <c r="A8"/>
      <c r="B8" t="s">
        <v>133</v>
      </c>
      <c r="E8"/>
      <c r="F8" t="s">
        <v>134</v>
      </c>
      <c r="G8"/>
      <c r="J8"/>
    </row>
    <row r="9">
      <c r="A9"/>
      <c r="B9" t="s">
        <v>133</v>
      </c>
      <c r="E9"/>
      <c r="F9" t="s">
        <v>134</v>
      </c>
      <c r="G9"/>
      <c r="J9"/>
    </row>
    <row r="10">
      <c r="A10"/>
      <c r="B10" t="s">
        <v>133</v>
      </c>
      <c r="E10"/>
      <c r="F10" t="s">
        <v>134</v>
      </c>
      <c r="G10"/>
      <c r="J10"/>
    </row>
    <row r="11">
      <c r="A11"/>
      <c r="B11"/>
      <c r="F11"/>
      <c r="G11"/>
      <c r="J11"/>
    </row>
    <row customFormat="1" r="12" s="2" spans="1:26" x14ac:dyDescent="0.25">
      <c r="A12"/>
      <c r="F12"/>
      <c r="G12"/>
      <c r="I12" s="19"/>
      <c r="J12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customFormat="1" r="13" s="2" spans="1:26" x14ac:dyDescent="0.25">
      <c r="A13" s="4" t="s">
        <v>4</v>
      </c>
      <c r="B13" t="s">
        <v>150</v>
      </c>
      <c r="F13"/>
      <c r="G13" s="4" t="s">
        <v>11</v>
      </c>
      <c r="H13" s="126" t="s">
        <v>140</v>
      </c>
      <c r="I13" s="19"/>
      <c r="J1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customFormat="1" r="14" s="2" spans="1:26" x14ac:dyDescent="0.25">
      <c r="A14" s="4" t="s">
        <v>5</v>
      </c>
      <c r="F14"/>
      <c r="H14" s="126" t="s">
        <v>141</v>
      </c>
      <c r="I14" s="19"/>
      <c r="J1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customFormat="1" r="15" s="2" spans="1:26" x14ac:dyDescent="0.25">
      <c r="A15" s="4" t="s">
        <v>6</v>
      </c>
      <c r="B15" t="s">
        <v>128</v>
      </c>
      <c r="F15"/>
      <c r="H15" t="s">
        <v>142</v>
      </c>
      <c r="I15" s="19"/>
      <c r="J15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customFormat="1" r="16" s="2" spans="1:26" x14ac:dyDescent="0.25">
      <c r="A16" s="4" t="s">
        <v>7</v>
      </c>
      <c r="B16" t="s">
        <v>151</v>
      </c>
      <c r="F16"/>
      <c r="H16" t="s">
        <v>126</v>
      </c>
      <c r="I16" s="19"/>
      <c r="J16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customFormat="1" r="17" s="2" spans="1:26" x14ac:dyDescent="0.25">
      <c r="A17" s="5" t="s">
        <v>8</v>
      </c>
      <c r="B17" t="s">
        <v>152</v>
      </c>
      <c r="F17"/>
      <c r="H17" t="s">
        <v>143</v>
      </c>
      <c r="I17" s="19"/>
      <c r="J1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customFormat="1" r="18" s="2" spans="1:26" x14ac:dyDescent="0.25">
      <c r="A18" s="5" t="s">
        <v>9</v>
      </c>
      <c r="B18" t="s">
        <v>153</v>
      </c>
      <c r="F18"/>
      <c r="H18" t="s">
        <v>144</v>
      </c>
      <c r="I18" s="19"/>
      <c r="J1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customFormat="1" r="19" s="2" spans="1:26" x14ac:dyDescent="0.25">
      <c r="A19" s="5" t="s">
        <v>82</v>
      </c>
      <c r="B19" t="s">
        <v>148</v>
      </c>
      <c r="F19"/>
      <c r="H19" t="s">
        <v>145</v>
      </c>
      <c r="I19" s="19"/>
      <c r="J19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customFormat="1" r="20" s="2" spans="1:26" x14ac:dyDescent="0.25">
      <c r="A20" s="4" t="s">
        <v>10</v>
      </c>
      <c r="B20" s="105"/>
      <c r="F20"/>
      <c r="H20" t="s">
        <v>146</v>
      </c>
      <c r="I20" s="19"/>
      <c r="J20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customFormat="1" r="21" s="2" spans="1:26" x14ac:dyDescent="0.25">
      <c r="A21"/>
      <c r="F21"/>
      <c r="H21" t="s">
        <v>126</v>
      </c>
      <c r="I21" s="19"/>
      <c r="J21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>
      <c r="A22"/>
      <c r="F22"/>
      <c r="H22" t="s">
        <v>147</v>
      </c>
      <c r="J22"/>
    </row>
    <row r="23">
      <c r="A23"/>
      <c r="F23"/>
      <c r="H23"/>
      <c r="J23"/>
    </row>
    <row r="24">
      <c r="A24"/>
      <c r="F24"/>
      <c r="J24"/>
    </row>
    <row customFormat="1" r="25" s="2" spans="1:26" x14ac:dyDescent="0.25">
      <c r="A25" s="6" t="s">
        <v>12</v>
      </c>
      <c r="B25" s="6" t="s">
        <v>13</v>
      </c>
      <c r="C25" s="7"/>
      <c r="D25" s="8"/>
      <c r="E25" s="6" t="s">
        <v>14</v>
      </c>
      <c r="F25" s="9"/>
      <c r="G25" s="9"/>
      <c r="H25" s="10" t="s">
        <v>15</v>
      </c>
      <c r="I25" s="21" t="s">
        <v>16</v>
      </c>
      <c r="J25" s="15" t="s">
        <v>17</v>
      </c>
      <c r="K25" s="25" t="s">
        <v>135</v>
      </c>
      <c r="L25" s="25" t="s">
        <v>136</v>
      </c>
      <c r="M25" s="25" t="s">
        <v>137</v>
      </c>
      <c r="N25" s="25" t="s">
        <v>138</v>
      </c>
      <c r="O25" s="25" t="s">
        <v>139</v>
      </c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customFormat="1" r="26" s="2" spans="1:26" x14ac:dyDescent="0.25">
      <c r="A26" s="11"/>
      <c r="F26"/>
      <c r="H26" s="12"/>
      <c r="I26" s="22"/>
      <c r="J26" s="127">
        <f>IF(H26*I26=0,"",H26*I26)</f>
      </c>
      <c r="K26" s="24"/>
      <c r="L26" s="24"/>
      <c r="M26" s="24"/>
      <c r="N26" s="24"/>
      <c r="O26">
        <f>IF(H26*N26=0,"",H26*N26)</f>
      </c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customFormat="1" r="27" s="2" spans="1:26" x14ac:dyDescent="0.25">
      <c r="A27" s="11"/>
      <c r="F27"/>
      <c r="H27" s="12"/>
      <c r="I27" s="22"/>
      <c r="J27" s="127">
        <f>IF(H27*I27=0,"",H27*I27)</f>
      </c>
      <c r="K27" s="24"/>
      <c r="L27" s="24"/>
      <c r="M27" s="24"/>
      <c r="N27" s="24"/>
      <c r="O27">
        <f>IF(H27*N27=0,"",H27*N27)</f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customFormat="1" r="28" s="2" spans="1:26" x14ac:dyDescent="0.25">
      <c r="A28" s="11"/>
      <c r="F28"/>
      <c r="H28" s="12"/>
      <c r="I28" s="22"/>
      <c r="J28" s="127">
        <f>IF(H28*I28=0,"",H28*I28)</f>
      </c>
      <c r="K28" s="24"/>
      <c r="L28" s="24"/>
      <c r="M28" s="24"/>
      <c r="N28" s="24"/>
      <c r="O28">
        <f>IF(H28*N28=0,"",H28*N28)</f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customFormat="1" r="29" s="2" spans="1:26" x14ac:dyDescent="0.25">
      <c r="A29" s="11"/>
      <c r="F29"/>
      <c r="H29" s="12"/>
      <c r="I29" s="22"/>
      <c r="J29" s="127">
        <f>IF(H29*I29=0,"",H29*I29)</f>
      </c>
      <c r="K29" s="24"/>
      <c r="L29" s="24"/>
      <c r="M29" s="24"/>
      <c r="N29" s="24"/>
      <c r="O29">
        <f>IF(H29*N29=0,"",H29*N29)</f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customFormat="1" r="30" s="2" spans="1:26" x14ac:dyDescent="0.25">
      <c r="A30" s="11"/>
      <c r="F30"/>
      <c r="H30" s="12"/>
      <c r="I30" s="22"/>
      <c r="J30" s="127">
        <f>IF(H30*I30=0,"",H30*I30)</f>
      </c>
      <c r="K30" s="24"/>
      <c r="L30" s="24"/>
      <c r="M30" s="24"/>
      <c r="N30" s="24"/>
      <c r="O30">
        <f>IF(H30*N30=0,"",H30*N30)</f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customFormat="1" r="31" s="2" spans="1:26" x14ac:dyDescent="0.25">
      <c r="A31" s="11"/>
      <c r="F31"/>
      <c r="H31" s="12"/>
      <c r="I31" s="22"/>
      <c r="J31" s="127">
        <f>IF(H31*I31=0,"",H31*I31)</f>
      </c>
      <c r="K31" s="24"/>
      <c r="L31" s="24"/>
      <c r="M31" s="24"/>
      <c r="N31" s="24"/>
      <c r="O31">
        <f>IF(H31*N31=0,"",H31*N31)</f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customFormat="1" r="32" s="2" spans="1:26" x14ac:dyDescent="0.25">
      <c r="A32" s="11"/>
      <c r="F32"/>
      <c r="H32" s="12"/>
      <c r="I32" s="22"/>
      <c r="J32" s="127">
        <f>IF(H32*I32=0,"",H32*I32)</f>
      </c>
      <c r="K32" s="24"/>
      <c r="L32" s="24"/>
      <c r="M32" s="24"/>
      <c r="N32" s="24"/>
      <c r="O32">
        <f>IF(H32*N32=0,"",H32*N32)</f>
      </c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customFormat="1" r="33" s="2" spans="1:26" x14ac:dyDescent="0.25">
      <c r="A33" s="11"/>
      <c r="F33"/>
      <c r="H33" s="12"/>
      <c r="I33" s="22"/>
      <c r="J33" s="127">
        <f>IF(H33*I33=0,"",H33*I33)</f>
      </c>
      <c r="K33" s="24"/>
      <c r="L33" s="24"/>
      <c r="M33" s="24"/>
      <c r="N33" s="24"/>
      <c r="O33">
        <f>IF(H33*N33=0,"",H33*N33)</f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customFormat="1" r="34" s="2" spans="1:26" x14ac:dyDescent="0.25">
      <c r="A34" s="11"/>
      <c r="F34"/>
      <c r="H34" s="12"/>
      <c r="I34" s="22"/>
      <c r="J34" s="127">
        <f>IF(H34*I34=0,"",H34*I34)</f>
      </c>
      <c r="K34" s="24"/>
      <c r="L34" s="24"/>
      <c r="M34" s="24"/>
      <c r="N34" s="24"/>
      <c r="O34">
        <f>IF(H34*N34=0,"",H34*N34)</f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customFormat="1" r="35" s="2" spans="1:26" x14ac:dyDescent="0.25">
      <c r="A35" s="11"/>
      <c r="F35"/>
      <c r="H35" s="12"/>
      <c r="I35" s="22"/>
      <c r="J35" s="127">
        <f>IF(H35*I35=0,"",H35*I35)</f>
      </c>
      <c r="K35" s="24"/>
      <c r="L35" s="24"/>
      <c r="M35" s="24"/>
      <c r="N35" s="24"/>
      <c r="O35">
        <f>IF(H35*N35=0,"",H35*N35)</f>
      </c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customFormat="1" r="36" s="2" spans="1:26" x14ac:dyDescent="0.25">
      <c r="A36" s="11"/>
      <c r="F36"/>
      <c r="H36" s="12"/>
      <c r="I36" s="22"/>
      <c r="J36" s="127">
        <f>IF(H36*I36=0,"",H36*I36)</f>
      </c>
      <c r="K36" s="24"/>
      <c r="L36" s="24"/>
      <c r="M36" s="24"/>
      <c r="N36" s="24"/>
      <c r="O36">
        <f>IF(H36*N36=0,"",H36*N36)</f>
      </c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customFormat="1" r="37" s="2" spans="1:26" x14ac:dyDescent="0.25">
      <c r="A37" s="11"/>
      <c r="F37"/>
      <c r="H37" s="12"/>
      <c r="I37" s="22"/>
      <c r="J37" s="127">
        <f>IF(H37*I37=0,"",H37*I37)</f>
      </c>
      <c r="K37" s="24"/>
      <c r="L37" s="24"/>
      <c r="M37" s="24"/>
      <c r="N37" s="24"/>
      <c r="O37">
        <f>IF(H37*N37=0,"",H37*N37)</f>
      </c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customFormat="1" r="38" s="2" spans="1:26" x14ac:dyDescent="0.25">
      <c r="A38" s="11"/>
      <c r="F38"/>
      <c r="H38" s="12"/>
      <c r="I38" s="22"/>
      <c r="J38" s="127">
        <f>IF(H38*I38=0,"",H38*I38)</f>
      </c>
      <c r="K38" s="24"/>
      <c r="L38" s="24"/>
      <c r="M38" s="24"/>
      <c r="N38" s="24"/>
      <c r="O38">
        <f>IF(H38*N38=0,"",H38*N38)</f>
      </c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customFormat="1" r="39" s="2" spans="1:26" x14ac:dyDescent="0.25">
      <c r="A39" s="11"/>
      <c r="F39"/>
      <c r="H39" s="12"/>
      <c r="I39" s="22"/>
      <c r="J39" s="127">
        <f>IF(H39*I39=0,"",H39*I39)</f>
      </c>
      <c r="K39" s="24"/>
      <c r="L39" s="24"/>
      <c r="M39" s="24"/>
      <c r="N39" s="24"/>
      <c r="O39">
        <f>IF(H39*N39=0,"",H39*N39)</f>
      </c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customFormat="1" r="40" s="2" spans="1:26" x14ac:dyDescent="0.25">
      <c r="A40" s="11"/>
      <c r="F40"/>
      <c r="H40" s="12"/>
      <c r="I40" s="22"/>
      <c r="J40" s="127">
        <f>IF(H40*I40=0,"",H40*I40)</f>
      </c>
      <c r="K40" s="24"/>
      <c r="L40" s="24"/>
      <c r="M40" s="24"/>
      <c r="N40" s="24"/>
      <c r="O40">
        <f>IF(H40*N40=0,"",H40*N40)</f>
      </c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customFormat="1" r="41" s="2" spans="1:26" x14ac:dyDescent="0.25">
      <c r="A41" s="11"/>
      <c r="F41"/>
      <c r="H41" s="12"/>
      <c r="I41" s="22"/>
      <c r="J41" s="127">
        <f>IF(H41*I41=0,"",H41*I41)</f>
      </c>
      <c r="K41" s="24"/>
      <c r="L41" s="24"/>
      <c r="M41" s="24"/>
      <c r="N41" s="24"/>
      <c r="O41">
        <f>IF(H41*N41=0,"",H41*N41)</f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customFormat="1" r="42" s="2" spans="1:26" x14ac:dyDescent="0.25">
      <c r="A42" s="11"/>
      <c r="F42"/>
      <c r="H42" s="12"/>
      <c r="I42" s="22"/>
      <c r="J42" s="127">
        <f>IF(H42*I42=0,"",H42*I42)</f>
      </c>
      <c r="K42" s="24"/>
      <c r="L42" s="24"/>
      <c r="M42" s="24"/>
      <c r="N42" s="24"/>
      <c r="O42">
        <f>IF(H42*N42=0,"",H42*N42)</f>
      </c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customFormat="1" r="43" s="2" spans="1:26" x14ac:dyDescent="0.25">
      <c r="A43" s="11"/>
      <c r="F43"/>
      <c r="H43" s="12"/>
      <c r="I43" s="22"/>
      <c r="J43" s="127">
        <f>IF(H43*I43=0,"",H43*I43)</f>
      </c>
      <c r="K43" s="24"/>
      <c r="L43" s="24"/>
      <c r="M43" s="24"/>
      <c r="N43" s="24"/>
      <c r="O43">
        <f>IF(H43*N43=0,"",H43*N43)</f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customFormat="1" r="44" s="2" spans="1:26" x14ac:dyDescent="0.25">
      <c r="A44" s="11"/>
      <c r="F44"/>
      <c r="H44" s="12"/>
      <c r="I44" s="22"/>
      <c r="J44" s="127">
        <f>IF(H44*I44=0,"",H44*I44)</f>
      </c>
      <c r="K44" s="24"/>
      <c r="L44" s="24"/>
      <c r="M44" s="24"/>
      <c r="N44" s="24"/>
      <c r="O44">
        <f>IF(H44*N44=0,"",H44*N44)</f>
      </c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customFormat="1" r="45" s="2" spans="1:26" x14ac:dyDescent="0.25">
      <c r="A45" s="11"/>
      <c r="F45"/>
      <c r="H45" s="12"/>
      <c r="I45" s="22"/>
      <c r="J45" s="127">
        <f>IF(H45*I45=0,"",H45*I45)</f>
      </c>
      <c r="K45" s="24"/>
      <c r="L45" s="24"/>
      <c r="M45" s="24"/>
      <c r="N45" s="24"/>
      <c r="O45">
        <f>IF(H45*N45=0,"",H45*N45)</f>
      </c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customFormat="1" r="46" s="2" spans="1:26" x14ac:dyDescent="0.25">
      <c r="A46" s="11"/>
      <c r="F46"/>
      <c r="H46" s="12"/>
      <c r="I46" s="22"/>
      <c r="J46" s="127">
        <f>IF(H46*I46=0,"",H46*I46)</f>
      </c>
      <c r="K46" s="24"/>
      <c r="L46" s="24"/>
      <c r="M46" s="24"/>
      <c r="N46" s="24"/>
      <c r="O46">
        <f>IF(H46*N46=0,"",H46*N46)</f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customFormat="1" r="47" s="2" spans="1:26" x14ac:dyDescent="0.25">
      <c r="A47" s="11"/>
      <c r="F47"/>
      <c r="H47" s="12"/>
      <c r="I47" s="22"/>
      <c r="J47" s="127">
        <f>IF(H47*I47=0,"",H47*I47)</f>
      </c>
      <c r="K47" s="24"/>
      <c r="L47" s="24"/>
      <c r="M47" s="24"/>
      <c r="N47" s="24"/>
      <c r="O47">
        <f>IF(H47*N47=0,"",H47*N47)</f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customFormat="1" r="48" s="2" spans="1:26" x14ac:dyDescent="0.25">
      <c r="A48" s="11"/>
      <c r="F48"/>
      <c r="H48" s="12"/>
      <c r="I48" s="22"/>
      <c r="J48" s="127">
        <f>IF(H48*I48=0,"",H48*I48)</f>
      </c>
      <c r="K48" s="24"/>
      <c r="L48" s="24"/>
      <c r="M48" s="24"/>
      <c r="N48" s="24"/>
      <c r="O48">
        <f>IF(H48*N48=0,"",H48*N48)</f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customFormat="1" r="49" s="2" spans="1:26" x14ac:dyDescent="0.25">
      <c r="A49" s="11"/>
      <c r="F49" t="s">
        <v>26</v>
      </c>
      <c r="H49" s="12"/>
      <c r="I49" s="22"/>
      <c r="J49" s="22">
        <f>SUM(J26:J48)</f>
      </c>
      <c r="K49" s="24"/>
      <c r="L49" s="24"/>
      <c r="M49" s="24"/>
      <c r="N49" s="24"/>
      <c r="O49">
        <f>IF(H49*N49=0,"",H49*N49)</f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>
      <c r="F50" t="s">
        <v>54</v>
      </c>
      <c r="O50">
        <f>IF(H50*N50=0,"",H50*N50)</f>
      </c>
    </row>
    <row customFormat="1" r="51" s="2" spans="1:26" x14ac:dyDescent="0.25">
      <c r="A51" s="11"/>
      <c r="F51" s="13" t="s">
        <v>18</v>
      </c>
      <c r="G51" s="13"/>
      <c r="H51" s="14"/>
      <c r="I51" s="15"/>
      <c r="J51" s="15">
        <f>SUM(J49,J50)</f>
      </c>
      <c r="K51" s="26"/>
      <c r="L51" s="26"/>
      <c r="M51" s="26"/>
      <c r="N51" s="26"/>
      <c r="O51" s="26">
        <f>SUM(O26:O50)</f>
      </c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x14ac:dyDescent="0.25">
      <c r="F52"/>
      <c r="H52" s="16"/>
      <c r="I52" s="23"/>
      <c r="J52" s="23"/>
    </row>
    <row r="53" spans="1:26" x14ac:dyDescent="0.25">
      <c r="F53"/>
      <c r="H53" s="16"/>
      <c r="I53" s="23"/>
      <c r="J53" s="23"/>
    </row>
    <row r="54" spans="1:26" x14ac:dyDescent="0.25">
      <c r="F54"/>
      <c r="H54" s="16"/>
      <c r="I54" s="23"/>
      <c r="J54" s="23"/>
    </row>
    <row r="55" spans="1:26" x14ac:dyDescent="0.25">
      <c r="F55"/>
      <c r="H55" s="16"/>
      <c r="I55" s="23"/>
      <c r="J55" s="23"/>
    </row>
    <row r="56" spans="1:26" x14ac:dyDescent="0.25">
      <c r="F56"/>
      <c r="H56" s="16"/>
      <c r="I56" s="23"/>
      <c r="J56" s="23"/>
    </row>
    <row r="57" spans="1:26" x14ac:dyDescent="0.25">
      <c r="F57"/>
      <c r="H57" s="16"/>
      <c r="I57" s="23"/>
      <c r="J57" s="23"/>
    </row>
    <row r="58" spans="1:26" x14ac:dyDescent="0.25">
      <c r="F58"/>
      <c r="H58" s="16"/>
      <c r="I58" s="23"/>
      <c r="J58" s="23"/>
    </row>
    <row r="59" spans="1:26" x14ac:dyDescent="0.25">
      <c r="F59"/>
      <c r="H59" s="16"/>
      <c r="I59" s="23"/>
      <c r="J59" s="23"/>
    </row>
    <row r="60" spans="8:10" x14ac:dyDescent="0.25">
      <c r="F60"/>
      <c r="H60" s="16"/>
      <c r="I60" s="23"/>
      <c r="J60" s="23"/>
    </row>
    <row r="61" spans="8:10" x14ac:dyDescent="0.25">
      <c r="F61"/>
      <c r="H61" s="16"/>
      <c r="I61" s="23"/>
      <c r="J61" s="23"/>
    </row>
    <row r="62" spans="8:10" x14ac:dyDescent="0.25">
      <c r="F62"/>
      <c r="H62" s="16"/>
      <c r="I62" s="23"/>
      <c r="J62" s="23"/>
    </row>
    <row r="63" spans="8:10" x14ac:dyDescent="0.25">
      <c r="F63"/>
      <c r="H63" s="16"/>
      <c r="I63" s="23"/>
      <c r="J63" s="23"/>
    </row>
    <row r="64" spans="8:10" x14ac:dyDescent="0.25">
      <c r="F64"/>
      <c r="H64" s="16"/>
      <c r="I64" s="23"/>
      <c r="J64" s="23"/>
    </row>
    <row r="65" spans="8:10" x14ac:dyDescent="0.25">
      <c r="F65"/>
      <c r="H65" s="16"/>
      <c r="I65" s="23"/>
      <c r="J65" s="23"/>
    </row>
    <row r="66" spans="8:10" x14ac:dyDescent="0.25">
      <c r="F66"/>
      <c r="H66" s="16"/>
      <c r="I66" s="23"/>
      <c r="J66" s="23"/>
    </row>
    <row r="67" spans="8:10" x14ac:dyDescent="0.25">
      <c r="F67"/>
      <c r="H67" s="16"/>
      <c r="I67" s="23"/>
      <c r="J67" s="23"/>
    </row>
    <row r="68" spans="8:10" x14ac:dyDescent="0.25">
      <c r="F68"/>
      <c r="H68" s="16"/>
      <c r="I68" s="23"/>
      <c r="J68" s="23"/>
    </row>
    <row r="69" spans="8:10" x14ac:dyDescent="0.25">
      <c r="F69"/>
      <c r="H69" s="16"/>
      <c r="I69" s="23"/>
      <c r="J69" s="23"/>
    </row>
    <row r="70" spans="8:10" x14ac:dyDescent="0.25">
      <c r="F70"/>
      <c r="H70" s="16"/>
      <c r="I70" s="23"/>
      <c r="J70" s="23"/>
    </row>
    <row r="71" spans="8:10" x14ac:dyDescent="0.25">
      <c r="F71"/>
      <c r="H71" s="16"/>
      <c r="I71" s="23"/>
      <c r="J71" s="23"/>
    </row>
    <row r="72" spans="8:10" x14ac:dyDescent="0.25">
      <c r="F72"/>
      <c r="H72" s="16"/>
      <c r="I72" s="23"/>
      <c r="J72" s="23"/>
    </row>
    <row r="73" spans="8:10" x14ac:dyDescent="0.25">
      <c r="F73"/>
      <c r="H73" s="16"/>
    </row>
    <row r="74" spans="8:10" x14ac:dyDescent="0.25">
      <c r="F74"/>
      <c r="H74" s="16"/>
    </row>
    <row r="75" spans="8:10" x14ac:dyDescent="0.25">
      <c r="F75"/>
      <c r="H75" s="16"/>
    </row>
    <row r="76" spans="8:8" x14ac:dyDescent="0.25">
      <c r="F76"/>
      <c r="H76" s="16"/>
    </row>
    <row r="77" spans="8:8" x14ac:dyDescent="0.25">
      <c r="F77"/>
      <c r="H77" s="16"/>
    </row>
    <row r="78" spans="8:8" x14ac:dyDescent="0.25">
      <c r="F78"/>
      <c r="H78" s="16"/>
    </row>
    <row r="79" spans="8:8" x14ac:dyDescent="0.25">
      <c r="F79"/>
      <c r="H79" s="16"/>
    </row>
    <row r="80" spans="8:8" x14ac:dyDescent="0.25">
      <c r="F80"/>
      <c r="H80" s="16"/>
    </row>
    <row r="81" spans="8:8" x14ac:dyDescent="0.25">
      <c r="F81"/>
      <c r="H81" s="16"/>
    </row>
    <row r="82" spans="8:8" x14ac:dyDescent="0.25">
      <c r="F82"/>
      <c r="H82" s="16"/>
    </row>
    <row r="83" spans="8:8" x14ac:dyDescent="0.25">
      <c r="F83"/>
      <c r="H83" s="16"/>
    </row>
    <row r="84" spans="8:8" x14ac:dyDescent="0.25">
      <c r="F84"/>
      <c r="H84" s="16"/>
    </row>
    <row r="85" spans="8:8" x14ac:dyDescent="0.25">
      <c r="F85"/>
      <c r="H85" s="16"/>
    </row>
  </sheetData>
  <sheetProtection objects="true" password="CBBC" scenarios="true" sheet="true"/>
  <conditionalFormatting sqref="K25:Z25 K51:Z51">
    <cfRule dxfId="4" priority="1" type="expression">
      <formula>K$25&lt;&gt;""</formula>
    </cfRule>
  </conditionalFormatting>
  <printOptions horizontalCentered="1"/>
  <pageMargins bottom="0.75" footer="0.3" header="0.3" left="0.45" right="0.45" top="1"/>
  <headerFooter>
    <oddHeader>&amp;C&amp;"-,Bold"&amp;16EXPORT HOME FURNISHINGS, INC.&amp;"-,Regular"
3635 PEACHTREE INDUSTRIAL BLVD SUITE  700 
TEL: (678) 646 0476 - FAX: (678) 646 0482</oddHeader>
    <oddFooter>Page &amp;P of &amp;N</oddFooter>
  </headerFooter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5"/>
  <sheetViews>
    <sheetView tabSelected="false" workbookViewId="0" zoomScale="85" zoomScaleNormal="85"/>
  </sheetViews>
  <sheetFormatPr defaultColWidth="10.75" defaultRowHeight="15.75" x14ac:dyDescent="0.25"/>
  <cols>
    <col min="1" max="1" customWidth="true" style="1" width="18.25" collapsed="true"/>
    <col min="2" max="8" customWidth="true" style="1" width="12.5" collapsed="true"/>
    <col min="9" max="10" customWidth="true" style="18" width="12.5" collapsed="true"/>
    <col min="11" max="26" customWidth="true" style="24" width="12.5" collapsed="true"/>
    <col min="27" max="16384" style="1" width="10.75" collapsed="true"/>
  </cols>
  <sheetData>
    <row ht="21" r="1" spans="1:26" x14ac:dyDescent="0.25">
      <c r="A1" s="17" t="s">
        <v>0</v>
      </c>
      <c r="F1"/>
      <c r="G1"/>
      <c r="J1"/>
    </row>
    <row customFormat="1" customHeight="1" ht="15.4" r="2" s="2" spans="1:26" x14ac:dyDescent="0.25">
      <c r="A2"/>
      <c r="F2"/>
      <c r="G2"/>
      <c r="I2" s="19"/>
      <c r="J2" s="1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customFormat="1" customHeight="1" ht="15.4" r="3" s="2" spans="1:26" x14ac:dyDescent="0.25">
      <c r="A3" s="3" t="s">
        <v>1</v>
      </c>
      <c r="B3" t="s">
        <v>133</v>
      </c>
      <c r="E3" s="3" t="s">
        <v>2</v>
      </c>
      <c r="F3" t="s">
        <v>134</v>
      </c>
      <c r="G3"/>
      <c r="I3" s="20" t="s">
        <v>3</v>
      </c>
      <c r="J3" t="s">
        <v>154</v>
      </c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>
      <c r="A4"/>
      <c r="B4" t="s">
        <v>133</v>
      </c>
      <c r="E4"/>
      <c r="F4" t="s">
        <v>134</v>
      </c>
      <c r="G4"/>
      <c r="J4"/>
    </row>
    <row r="5">
      <c r="A5"/>
      <c r="B5" t="s">
        <v>133</v>
      </c>
      <c r="E5"/>
      <c r="F5" t="s">
        <v>134</v>
      </c>
      <c r="G5"/>
      <c r="J5"/>
    </row>
    <row r="6">
      <c r="A6"/>
      <c r="B6" t="s">
        <v>133</v>
      </c>
      <c r="E6"/>
      <c r="F6" t="s">
        <v>134</v>
      </c>
      <c r="G6"/>
      <c r="J6"/>
    </row>
    <row r="7">
      <c r="A7"/>
      <c r="B7" t="s">
        <v>133</v>
      </c>
      <c r="E7"/>
      <c r="F7" t="s">
        <v>134</v>
      </c>
      <c r="G7"/>
      <c r="J7"/>
    </row>
    <row r="8">
      <c r="A8"/>
      <c r="B8" t="s">
        <v>133</v>
      </c>
      <c r="E8"/>
      <c r="F8" t="s">
        <v>134</v>
      </c>
      <c r="G8"/>
      <c r="J8"/>
    </row>
    <row r="9">
      <c r="A9"/>
      <c r="B9" t="s">
        <v>133</v>
      </c>
      <c r="E9"/>
      <c r="F9" t="s">
        <v>134</v>
      </c>
      <c r="G9"/>
      <c r="J9"/>
    </row>
    <row r="10">
      <c r="A10"/>
      <c r="B10" t="s">
        <v>133</v>
      </c>
      <c r="E10"/>
      <c r="F10" t="s">
        <v>134</v>
      </c>
      <c r="G10"/>
      <c r="J10"/>
    </row>
    <row r="11">
      <c r="A11"/>
      <c r="B11"/>
      <c r="F11"/>
      <c r="G11"/>
      <c r="J11"/>
    </row>
    <row customFormat="1" r="12" s="2" spans="1:26" x14ac:dyDescent="0.25">
      <c r="A12"/>
      <c r="F12"/>
      <c r="G12"/>
      <c r="I12" s="19"/>
      <c r="J12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customFormat="1" r="13" s="2" spans="1:26" x14ac:dyDescent="0.25">
      <c r="A13" s="4" t="s">
        <v>4</v>
      </c>
      <c r="B13" t="s">
        <v>150</v>
      </c>
      <c r="F13"/>
      <c r="G13" s="4" t="s">
        <v>11</v>
      </c>
      <c r="H13" s="126" t="s">
        <v>140</v>
      </c>
      <c r="I13" s="19"/>
      <c r="J1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customFormat="1" r="14" s="2" spans="1:26" x14ac:dyDescent="0.25">
      <c r="A14" s="4" t="s">
        <v>5</v>
      </c>
      <c r="F14"/>
      <c r="H14" s="126" t="s">
        <v>141</v>
      </c>
      <c r="I14" s="19"/>
      <c r="J1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customFormat="1" r="15" s="2" spans="1:26" x14ac:dyDescent="0.25">
      <c r="A15" s="4" t="s">
        <v>6</v>
      </c>
      <c r="B15" t="s">
        <v>128</v>
      </c>
      <c r="F15"/>
      <c r="H15" t="s">
        <v>142</v>
      </c>
      <c r="I15" s="19"/>
      <c r="J15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customFormat="1" r="16" s="2" spans="1:26" x14ac:dyDescent="0.25">
      <c r="A16" s="4" t="s">
        <v>7</v>
      </c>
      <c r="B16" t="s">
        <v>151</v>
      </c>
      <c r="F16"/>
      <c r="H16" t="s">
        <v>126</v>
      </c>
      <c r="I16" s="19"/>
      <c r="J16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customFormat="1" r="17" s="2" spans="1:26" x14ac:dyDescent="0.25">
      <c r="A17" s="5" t="s">
        <v>8</v>
      </c>
      <c r="B17" t="s">
        <v>152</v>
      </c>
      <c r="F17"/>
      <c r="H17" t="s">
        <v>143</v>
      </c>
      <c r="I17" s="19"/>
      <c r="J1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customFormat="1" r="18" s="2" spans="1:26" x14ac:dyDescent="0.25">
      <c r="A18" s="5" t="s">
        <v>9</v>
      </c>
      <c r="B18" t="s">
        <v>153</v>
      </c>
      <c r="F18"/>
      <c r="H18" t="s">
        <v>144</v>
      </c>
      <c r="I18" s="19"/>
      <c r="J1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customFormat="1" r="19" s="2" spans="1:26" x14ac:dyDescent="0.25">
      <c r="A19" s="5" t="s">
        <v>82</v>
      </c>
      <c r="B19" t="s">
        <v>148</v>
      </c>
      <c r="F19"/>
      <c r="H19" t="s">
        <v>145</v>
      </c>
      <c r="I19" s="19"/>
      <c r="J19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customFormat="1" r="20" s="2" spans="1:26" x14ac:dyDescent="0.25">
      <c r="A20" s="4" t="s">
        <v>10</v>
      </c>
      <c r="B20" s="105"/>
      <c r="F20"/>
      <c r="H20" t="s">
        <v>146</v>
      </c>
      <c r="I20" s="19"/>
      <c r="J20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customFormat="1" r="21" s="2" spans="1:26" x14ac:dyDescent="0.25">
      <c r="A21"/>
      <c r="F21"/>
      <c r="H21" t="s">
        <v>126</v>
      </c>
      <c r="I21" s="19"/>
      <c r="J21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>
      <c r="A22"/>
      <c r="F22"/>
      <c r="H22" t="s">
        <v>147</v>
      </c>
      <c r="J22"/>
    </row>
    <row r="23">
      <c r="A23"/>
      <c r="F23"/>
      <c r="H23"/>
      <c r="J23"/>
    </row>
    <row r="24">
      <c r="A24"/>
      <c r="F24"/>
      <c r="J24"/>
    </row>
    <row customFormat="1" r="25" s="2" spans="1:26" x14ac:dyDescent="0.25">
      <c r="A25" s="6" t="s">
        <v>12</v>
      </c>
      <c r="B25" s="6" t="s">
        <v>13</v>
      </c>
      <c r="C25" s="7"/>
      <c r="D25" s="8"/>
      <c r="E25" s="6" t="s">
        <v>14</v>
      </c>
      <c r="F25" s="9"/>
      <c r="G25" s="9"/>
      <c r="H25" s="10" t="s">
        <v>15</v>
      </c>
      <c r="I25" s="21" t="s">
        <v>16</v>
      </c>
      <c r="J25" s="15" t="s">
        <v>17</v>
      </c>
      <c r="K25" s="25" t="s">
        <v>135</v>
      </c>
      <c r="L25" s="25" t="s">
        <v>136</v>
      </c>
      <c r="M25" s="25" t="s">
        <v>137</v>
      </c>
      <c r="N25" s="25" t="s">
        <v>138</v>
      </c>
      <c r="O25" s="25" t="s">
        <v>139</v>
      </c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customFormat="1" r="26" s="2" spans="1:26" x14ac:dyDescent="0.25">
      <c r="A26" s="11"/>
      <c r="F26"/>
      <c r="H26" s="12"/>
      <c r="I26" s="22"/>
      <c r="J26" s="127">
        <f>IF(H26*I26=0,"",H26*I26)</f>
      </c>
      <c r="K26" s="24"/>
      <c r="L26" s="24"/>
      <c r="M26" s="24"/>
      <c r="N26" s="24"/>
      <c r="O26">
        <f>IF(H26*N26=0,"",H26*N26)</f>
      </c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customFormat="1" r="27" s="2" spans="1:26" x14ac:dyDescent="0.25">
      <c r="A27" s="11"/>
      <c r="F27"/>
      <c r="H27" s="12"/>
      <c r="I27" s="22"/>
      <c r="J27" s="127">
        <f>IF(H27*I27=0,"",H27*I27)</f>
      </c>
      <c r="K27" s="24"/>
      <c r="L27" s="24"/>
      <c r="M27" s="24"/>
      <c r="N27" s="24"/>
      <c r="O27">
        <f>IF(H27*N27=0,"",H27*N27)</f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customFormat="1" r="28" s="2" spans="1:26" x14ac:dyDescent="0.25">
      <c r="A28" s="11"/>
      <c r="F28"/>
      <c r="H28" s="12"/>
      <c r="I28" s="22"/>
      <c r="J28" s="127">
        <f>IF(H28*I28=0,"",H28*I28)</f>
      </c>
      <c r="K28" s="24"/>
      <c r="L28" s="24"/>
      <c r="M28" s="24"/>
      <c r="N28" s="24"/>
      <c r="O28">
        <f>IF(H28*N28=0,"",H28*N28)</f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customFormat="1" r="29" s="2" spans="1:26" x14ac:dyDescent="0.25">
      <c r="A29" s="11"/>
      <c r="F29"/>
      <c r="H29" s="12"/>
      <c r="I29" s="22"/>
      <c r="J29" s="127">
        <f>IF(H29*I29=0,"",H29*I29)</f>
      </c>
      <c r="K29" s="24"/>
      <c r="L29" s="24"/>
      <c r="M29" s="24"/>
      <c r="N29" s="24"/>
      <c r="O29">
        <f>IF(H29*N29=0,"",H29*N29)</f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customFormat="1" r="30" s="2" spans="1:26" x14ac:dyDescent="0.25">
      <c r="A30" s="11"/>
      <c r="F30"/>
      <c r="H30" s="12"/>
      <c r="I30" s="22"/>
      <c r="J30" s="127">
        <f>IF(H30*I30=0,"",H30*I30)</f>
      </c>
      <c r="K30" s="24"/>
      <c r="L30" s="24"/>
      <c r="M30" s="24"/>
      <c r="N30" s="24"/>
      <c r="O30">
        <f>IF(H30*N30=0,"",H30*N30)</f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customFormat="1" r="31" s="2" spans="1:26" x14ac:dyDescent="0.25">
      <c r="A31" s="11"/>
      <c r="F31"/>
      <c r="H31" s="12"/>
      <c r="I31" s="22"/>
      <c r="J31" s="127">
        <f>IF(H31*I31=0,"",H31*I31)</f>
      </c>
      <c r="K31" s="24"/>
      <c r="L31" s="24"/>
      <c r="M31" s="24"/>
      <c r="N31" s="24"/>
      <c r="O31">
        <f>IF(H31*N31=0,"",H31*N31)</f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customFormat="1" r="32" s="2" spans="1:26" x14ac:dyDescent="0.25">
      <c r="A32" s="11"/>
      <c r="F32"/>
      <c r="H32" s="12"/>
      <c r="I32" s="22"/>
      <c r="J32" s="127">
        <f>IF(H32*I32=0,"",H32*I32)</f>
      </c>
      <c r="K32" s="24"/>
      <c r="L32" s="24"/>
      <c r="M32" s="24"/>
      <c r="N32" s="24"/>
      <c r="O32">
        <f>IF(H32*N32=0,"",H32*N32)</f>
      </c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customFormat="1" r="33" s="2" spans="1:26" x14ac:dyDescent="0.25">
      <c r="A33" s="11"/>
      <c r="F33"/>
      <c r="H33" s="12"/>
      <c r="I33" s="22"/>
      <c r="J33" s="127">
        <f>IF(H33*I33=0,"",H33*I33)</f>
      </c>
      <c r="K33" s="24"/>
      <c r="L33" s="24"/>
      <c r="M33" s="24"/>
      <c r="N33" s="24"/>
      <c r="O33">
        <f>IF(H33*N33=0,"",H33*N33)</f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customFormat="1" r="34" s="2" spans="1:26" x14ac:dyDescent="0.25">
      <c r="A34" s="11"/>
      <c r="F34"/>
      <c r="H34" s="12"/>
      <c r="I34" s="22"/>
      <c r="J34" s="127">
        <f>IF(H34*I34=0,"",H34*I34)</f>
      </c>
      <c r="K34" s="24"/>
      <c r="L34" s="24"/>
      <c r="M34" s="24"/>
      <c r="N34" s="24"/>
      <c r="O34">
        <f>IF(H34*N34=0,"",H34*N34)</f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customFormat="1" r="35" s="2" spans="1:26" x14ac:dyDescent="0.25">
      <c r="A35" s="11"/>
      <c r="F35"/>
      <c r="H35" s="12"/>
      <c r="I35" s="22"/>
      <c r="J35" s="127">
        <f>IF(H35*I35=0,"",H35*I35)</f>
      </c>
      <c r="K35" s="24"/>
      <c r="L35" s="24"/>
      <c r="M35" s="24"/>
      <c r="N35" s="24"/>
      <c r="O35">
        <f>IF(H35*N35=0,"",H35*N35)</f>
      </c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customFormat="1" r="36" s="2" spans="1:26" x14ac:dyDescent="0.25">
      <c r="A36" s="11"/>
      <c r="F36"/>
      <c r="H36" s="12"/>
      <c r="I36" s="22"/>
      <c r="J36" s="127">
        <f>IF(H36*I36=0,"",H36*I36)</f>
      </c>
      <c r="K36" s="24"/>
      <c r="L36" s="24"/>
      <c r="M36" s="24"/>
      <c r="N36" s="24"/>
      <c r="O36">
        <f>IF(H36*N36=0,"",H36*N36)</f>
      </c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customFormat="1" r="37" s="2" spans="1:26" x14ac:dyDescent="0.25">
      <c r="A37" s="11"/>
      <c r="F37"/>
      <c r="H37" s="12"/>
      <c r="I37" s="22"/>
      <c r="J37" s="127">
        <f>IF(H37*I37=0,"",H37*I37)</f>
      </c>
      <c r="K37" s="24"/>
      <c r="L37" s="24"/>
      <c r="M37" s="24"/>
      <c r="N37" s="24"/>
      <c r="O37">
        <f>IF(H37*N37=0,"",H37*N37)</f>
      </c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customFormat="1" r="38" s="2" spans="1:26" x14ac:dyDescent="0.25">
      <c r="A38" s="11"/>
      <c r="F38"/>
      <c r="H38" s="12"/>
      <c r="I38" s="22"/>
      <c r="J38" s="127">
        <f>IF(H38*I38=0,"",H38*I38)</f>
      </c>
      <c r="K38" s="24"/>
      <c r="L38" s="24"/>
      <c r="M38" s="24"/>
      <c r="N38" s="24"/>
      <c r="O38">
        <f>IF(H38*N38=0,"",H38*N38)</f>
      </c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customFormat="1" r="39" s="2" spans="1:26" x14ac:dyDescent="0.25">
      <c r="A39" s="11"/>
      <c r="F39"/>
      <c r="H39" s="12"/>
      <c r="I39" s="22"/>
      <c r="J39" s="127">
        <f>IF(H39*I39=0,"",H39*I39)</f>
      </c>
      <c r="K39" s="24"/>
      <c r="L39" s="24"/>
      <c r="M39" s="24"/>
      <c r="N39" s="24"/>
      <c r="O39">
        <f>IF(H39*N39=0,"",H39*N39)</f>
      </c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customFormat="1" r="40" s="2" spans="1:26" x14ac:dyDescent="0.25">
      <c r="A40" s="11"/>
      <c r="F40"/>
      <c r="H40" s="12"/>
      <c r="I40" s="22"/>
      <c r="J40" s="127">
        <f>IF(H40*I40=0,"",H40*I40)</f>
      </c>
      <c r="K40" s="24"/>
      <c r="L40" s="24"/>
      <c r="M40" s="24"/>
      <c r="N40" s="24"/>
      <c r="O40">
        <f>IF(H40*N40=0,"",H40*N40)</f>
      </c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customFormat="1" r="41" s="2" spans="1:26" x14ac:dyDescent="0.25">
      <c r="A41" s="11"/>
      <c r="F41"/>
      <c r="H41" s="12"/>
      <c r="I41" s="22"/>
      <c r="J41" s="127">
        <f>IF(H41*I41=0,"",H41*I41)</f>
      </c>
      <c r="K41" s="24"/>
      <c r="L41" s="24"/>
      <c r="M41" s="24"/>
      <c r="N41" s="24"/>
      <c r="O41">
        <f>IF(H41*N41=0,"",H41*N41)</f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customFormat="1" r="42" s="2" spans="1:26" x14ac:dyDescent="0.25">
      <c r="A42" s="11"/>
      <c r="F42"/>
      <c r="H42" s="12"/>
      <c r="I42" s="22"/>
      <c r="J42" s="127">
        <f>IF(H42*I42=0,"",H42*I42)</f>
      </c>
      <c r="K42" s="24"/>
      <c r="L42" s="24"/>
      <c r="M42" s="24"/>
      <c r="N42" s="24"/>
      <c r="O42">
        <f>IF(H42*N42=0,"",H42*N42)</f>
      </c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customFormat="1" r="43" s="2" spans="1:26" x14ac:dyDescent="0.25">
      <c r="A43" s="11"/>
      <c r="F43"/>
      <c r="H43" s="12"/>
      <c r="I43" s="22"/>
      <c r="J43" s="127">
        <f>IF(H43*I43=0,"",H43*I43)</f>
      </c>
      <c r="K43" s="24"/>
      <c r="L43" s="24"/>
      <c r="M43" s="24"/>
      <c r="N43" s="24"/>
      <c r="O43">
        <f>IF(H43*N43=0,"",H43*N43)</f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customFormat="1" r="44" s="2" spans="1:26" x14ac:dyDescent="0.25">
      <c r="A44" s="11"/>
      <c r="F44"/>
      <c r="H44" s="12"/>
      <c r="I44" s="22"/>
      <c r="J44" s="127">
        <f>IF(H44*I44=0,"",H44*I44)</f>
      </c>
      <c r="K44" s="24"/>
      <c r="L44" s="24"/>
      <c r="M44" s="24"/>
      <c r="N44" s="24"/>
      <c r="O44">
        <f>IF(H44*N44=0,"",H44*N44)</f>
      </c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customFormat="1" r="45" s="2" spans="1:26" x14ac:dyDescent="0.25">
      <c r="A45" s="11"/>
      <c r="F45"/>
      <c r="H45" s="12"/>
      <c r="I45" s="22"/>
      <c r="J45" s="127">
        <f>IF(H45*I45=0,"",H45*I45)</f>
      </c>
      <c r="K45" s="24"/>
      <c r="L45" s="24"/>
      <c r="M45" s="24"/>
      <c r="N45" s="24"/>
      <c r="O45">
        <f>IF(H45*N45=0,"",H45*N45)</f>
      </c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customFormat="1" r="46" s="2" spans="1:26" x14ac:dyDescent="0.25">
      <c r="A46" s="11"/>
      <c r="F46"/>
      <c r="H46" s="12"/>
      <c r="I46" s="22"/>
      <c r="J46" s="127">
        <f>IF(H46*I46=0,"",H46*I46)</f>
      </c>
      <c r="K46" s="24"/>
      <c r="L46" s="24"/>
      <c r="M46" s="24"/>
      <c r="N46" s="24"/>
      <c r="O46">
        <f>IF(H46*N46=0,"",H46*N46)</f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customFormat="1" r="47" s="2" spans="1:26" x14ac:dyDescent="0.25">
      <c r="A47" s="11"/>
      <c r="F47"/>
      <c r="H47" s="12"/>
      <c r="I47" s="22"/>
      <c r="J47" s="127">
        <f>IF(H47*I47=0,"",H47*I47)</f>
      </c>
      <c r="K47" s="24"/>
      <c r="L47" s="24"/>
      <c r="M47" s="24"/>
      <c r="N47" s="24"/>
      <c r="O47">
        <f>IF(H47*N47=0,"",H47*N47)</f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customFormat="1" r="48" s="2" spans="1:26" x14ac:dyDescent="0.25">
      <c r="A48" s="11"/>
      <c r="F48"/>
      <c r="H48" s="12"/>
      <c r="I48" s="22"/>
      <c r="J48" s="127">
        <f>IF(H48*I48=0,"",H48*I48)</f>
      </c>
      <c r="K48" s="24"/>
      <c r="L48" s="24"/>
      <c r="M48" s="24"/>
      <c r="N48" s="24"/>
      <c r="O48">
        <f>IF(H48*N48=0,"",H48*N48)</f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customFormat="1" r="49" s="2" spans="1:26" x14ac:dyDescent="0.25">
      <c r="A49" s="11"/>
      <c r="F49" t="s">
        <v>26</v>
      </c>
      <c r="H49" s="12"/>
      <c r="I49" s="22"/>
      <c r="J49" s="22">
        <f>SUM(J26:J48)</f>
      </c>
      <c r="K49" s="24"/>
      <c r="L49" s="24"/>
      <c r="M49" s="24"/>
      <c r="N49" s="24"/>
      <c r="O49">
        <f>IF(H49*N49=0,"",H49*N49)</f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>
      <c r="F50" t="s">
        <v>54</v>
      </c>
      <c r="O50">
        <f>IF(H50*N50=0,"",H50*N50)</f>
      </c>
    </row>
    <row customFormat="1" r="51" s="2" spans="1:26" x14ac:dyDescent="0.25">
      <c r="A51" s="11"/>
      <c r="F51" s="13" t="s">
        <v>18</v>
      </c>
      <c r="G51" s="13"/>
      <c r="H51" s="14"/>
      <c r="I51" s="15"/>
      <c r="J51" s="15">
        <f>SUM(J49,J50)</f>
      </c>
      <c r="K51" s="26"/>
      <c r="L51" s="26"/>
      <c r="M51" s="26"/>
      <c r="N51" s="26"/>
      <c r="O51" s="26">
        <f>SUM(O26:O50)</f>
      </c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x14ac:dyDescent="0.25">
      <c r="F52"/>
      <c r="H52" s="16"/>
      <c r="I52" s="23"/>
      <c r="J52" s="23"/>
    </row>
    <row r="53" spans="1:26" x14ac:dyDescent="0.25">
      <c r="F53"/>
      <c r="H53" s="16"/>
      <c r="I53" s="23"/>
      <c r="J53" s="23"/>
    </row>
    <row r="54" spans="1:26" x14ac:dyDescent="0.25">
      <c r="F54"/>
      <c r="H54" s="16"/>
      <c r="I54" s="23"/>
      <c r="J54" s="23"/>
    </row>
    <row r="55" spans="1:26" x14ac:dyDescent="0.25">
      <c r="F55"/>
      <c r="H55" s="16"/>
      <c r="I55" s="23"/>
      <c r="J55" s="23"/>
    </row>
    <row r="56" spans="1:26" x14ac:dyDescent="0.25">
      <c r="F56"/>
      <c r="H56" s="16"/>
      <c r="I56" s="23"/>
      <c r="J56" s="23"/>
    </row>
    <row r="57" spans="1:26" x14ac:dyDescent="0.25">
      <c r="F57"/>
      <c r="H57" s="16"/>
      <c r="I57" s="23"/>
      <c r="J57" s="23"/>
    </row>
    <row r="58" spans="1:26" x14ac:dyDescent="0.25">
      <c r="F58"/>
      <c r="H58" s="16"/>
      <c r="I58" s="23"/>
      <c r="J58" s="23"/>
    </row>
    <row r="59" spans="1:26" x14ac:dyDescent="0.25">
      <c r="F59"/>
      <c r="H59" s="16"/>
      <c r="I59" s="23"/>
      <c r="J59" s="23"/>
    </row>
    <row r="60" spans="8:10" x14ac:dyDescent="0.25">
      <c r="F60"/>
      <c r="H60" s="16"/>
      <c r="I60" s="23"/>
      <c r="J60" s="23"/>
    </row>
    <row r="61" spans="8:10" x14ac:dyDescent="0.25">
      <c r="F61"/>
      <c r="H61" s="16"/>
      <c r="I61" s="23"/>
      <c r="J61" s="23"/>
    </row>
    <row r="62" spans="8:10" x14ac:dyDescent="0.25">
      <c r="F62"/>
      <c r="H62" s="16"/>
      <c r="I62" s="23"/>
      <c r="J62" s="23"/>
    </row>
    <row r="63" spans="8:10" x14ac:dyDescent="0.25">
      <c r="F63"/>
      <c r="H63" s="16"/>
      <c r="I63" s="23"/>
      <c r="J63" s="23"/>
    </row>
    <row r="64" spans="8:10" x14ac:dyDescent="0.25">
      <c r="F64"/>
      <c r="H64" s="16"/>
      <c r="I64" s="23"/>
      <c r="J64" s="23"/>
    </row>
    <row r="65" spans="8:10" x14ac:dyDescent="0.25">
      <c r="F65"/>
      <c r="H65" s="16"/>
      <c r="I65" s="23"/>
      <c r="J65" s="23"/>
    </row>
    <row r="66" spans="8:10" x14ac:dyDescent="0.25">
      <c r="F66"/>
      <c r="H66" s="16"/>
      <c r="I66" s="23"/>
      <c r="J66" s="23"/>
    </row>
    <row r="67" spans="8:10" x14ac:dyDescent="0.25">
      <c r="F67"/>
      <c r="H67" s="16"/>
      <c r="I67" s="23"/>
      <c r="J67" s="23"/>
    </row>
    <row r="68" spans="8:10" x14ac:dyDescent="0.25">
      <c r="F68"/>
      <c r="H68" s="16"/>
      <c r="I68" s="23"/>
      <c r="J68" s="23"/>
    </row>
    <row r="69" spans="8:10" x14ac:dyDescent="0.25">
      <c r="F69"/>
      <c r="H69" s="16"/>
      <c r="I69" s="23"/>
      <c r="J69" s="23"/>
    </row>
    <row r="70" spans="8:10" x14ac:dyDescent="0.25">
      <c r="F70"/>
      <c r="H70" s="16"/>
      <c r="I70" s="23"/>
      <c r="J70" s="23"/>
    </row>
    <row r="71" spans="8:10" x14ac:dyDescent="0.25">
      <c r="F71"/>
      <c r="H71" s="16"/>
      <c r="I71" s="23"/>
      <c r="J71" s="23"/>
    </row>
    <row r="72" spans="8:10" x14ac:dyDescent="0.25">
      <c r="F72"/>
      <c r="H72" s="16"/>
      <c r="I72" s="23"/>
      <c r="J72" s="23"/>
    </row>
    <row r="73" spans="8:10" x14ac:dyDescent="0.25">
      <c r="F73"/>
      <c r="H73" s="16"/>
    </row>
    <row r="74" spans="8:10" x14ac:dyDescent="0.25">
      <c r="F74"/>
      <c r="H74" s="16"/>
    </row>
    <row r="75" spans="8:10" x14ac:dyDescent="0.25">
      <c r="F75"/>
      <c r="H75" s="16"/>
    </row>
    <row r="76" spans="8:8" x14ac:dyDescent="0.25">
      <c r="F76"/>
      <c r="H76" s="16"/>
    </row>
    <row r="77" spans="8:8" x14ac:dyDescent="0.25">
      <c r="F77"/>
      <c r="H77" s="16"/>
    </row>
    <row r="78" spans="8:8" x14ac:dyDescent="0.25">
      <c r="F78"/>
      <c r="H78" s="16"/>
    </row>
    <row r="79" spans="8:8" x14ac:dyDescent="0.25">
      <c r="F79"/>
      <c r="H79" s="16"/>
    </row>
    <row r="80" spans="8:8" x14ac:dyDescent="0.25">
      <c r="F80"/>
      <c r="H80" s="16"/>
    </row>
    <row r="81" spans="8:8" x14ac:dyDescent="0.25">
      <c r="F81"/>
      <c r="H81" s="16"/>
    </row>
    <row r="82" spans="8:8" x14ac:dyDescent="0.25">
      <c r="F82"/>
      <c r="H82" s="16"/>
    </row>
    <row r="83" spans="8:8" x14ac:dyDescent="0.25">
      <c r="F83"/>
      <c r="H83" s="16"/>
    </row>
    <row r="84" spans="8:8" x14ac:dyDescent="0.25">
      <c r="F84"/>
      <c r="H84" s="16"/>
    </row>
    <row r="85" spans="8:8" x14ac:dyDescent="0.25">
      <c r="F85"/>
      <c r="H85" s="16"/>
    </row>
  </sheetData>
  <sheetProtection objects="true" password="CBBC" scenarios="true" sheet="true"/>
  <conditionalFormatting sqref="K25:Z25 K51:Z51">
    <cfRule dxfId="4" priority="1" type="expression">
      <formula>K$25&lt;&gt;""</formula>
    </cfRule>
  </conditionalFormatting>
  <printOptions horizontalCentered="1"/>
  <pageMargins bottom="0.75" footer="0.3" header="0.3" left="0.45" right="0.45" top="1"/>
  <headerFooter>
    <oddHeader>&amp;C&amp;"-,Bold"&amp;16EXPORT HOME FURNISHINGS, INC.&amp;"-,Regular"
3635 PEACHTREE INDUSTRIAL BLVD SUITE  700 
TEL: (678) 646 0476 - FAX: (678) 646 0482</oddHeader>
    <oddFooter>Page &amp;P of &amp;N</oddFooter>
  </headerFooter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85"/>
  <sheetViews>
    <sheetView workbookViewId="0" zoomScale="85" zoomScaleNormal="85" tabSelected="false"/>
  </sheetViews>
  <sheetFormatPr defaultColWidth="10.75" defaultRowHeight="15.75" x14ac:dyDescent="0.25"/>
  <cols>
    <col min="1" max="1" customWidth="true" style="1" width="18.25" collapsed="true"/>
    <col min="2" max="8" customWidth="true" style="1" width="12.5" collapsed="true"/>
    <col min="9" max="10" customWidth="true" style="18" width="12.5" collapsed="true"/>
    <col min="11" max="26" customWidth="true" style="24" width="12.5" collapsed="true"/>
    <col min="27" max="16384" style="1" width="10.75" collapsed="true"/>
  </cols>
  <sheetData>
    <row ht="21" r="1" spans="1:26" x14ac:dyDescent="0.25">
      <c r="A1" s="17" t="s">
        <v>162</v>
      </c>
      <c r="F1"/>
      <c r="G1"/>
      <c r="J1"/>
    </row>
    <row customFormat="1" customHeight="1" ht="15.4" r="2" s="2" spans="1:26" x14ac:dyDescent="0.25">
      <c r="A2"/>
      <c r="F2"/>
      <c r="G2"/>
      <c r="I2" s="19"/>
      <c r="J2" s="1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customFormat="1" customHeight="1" ht="15.4" r="3" s="2" spans="1:26" x14ac:dyDescent="0.25">
      <c r="A3" s="3" t="s">
        <v>1</v>
      </c>
      <c r="B3" t="s">
        <v>133</v>
      </c>
      <c r="E3" s="3" t="s">
        <v>2</v>
      </c>
      <c r="F3" t="s">
        <v>134</v>
      </c>
      <c r="G3"/>
      <c r="I3" s="20" t="s">
        <v>3</v>
      </c>
      <c r="J3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>
      <c r="A4"/>
      <c r="B4" t="s">
        <v>133</v>
      </c>
      <c r="E4"/>
      <c r="F4" t="s">
        <v>134</v>
      </c>
      <c r="G4"/>
      <c r="J4"/>
    </row>
    <row r="5">
      <c r="A5"/>
      <c r="B5" t="s">
        <v>133</v>
      </c>
      <c r="E5"/>
      <c r="F5" t="s">
        <v>134</v>
      </c>
      <c r="G5"/>
      <c r="J5"/>
    </row>
    <row r="6">
      <c r="A6"/>
      <c r="B6" t="s">
        <v>133</v>
      </c>
      <c r="E6"/>
      <c r="F6" t="s">
        <v>134</v>
      </c>
      <c r="G6"/>
      <c r="J6"/>
    </row>
    <row r="7">
      <c r="A7"/>
      <c r="B7" t="s">
        <v>133</v>
      </c>
      <c r="E7"/>
      <c r="F7" t="s">
        <v>134</v>
      </c>
      <c r="G7"/>
      <c r="J7"/>
    </row>
    <row r="8">
      <c r="A8"/>
      <c r="B8" t="s">
        <v>133</v>
      </c>
      <c r="E8"/>
      <c r="F8" t="s">
        <v>134</v>
      </c>
      <c r="G8"/>
      <c r="J8"/>
    </row>
    <row r="9">
      <c r="A9"/>
      <c r="B9" t="s">
        <v>133</v>
      </c>
      <c r="E9"/>
      <c r="F9" t="s">
        <v>134</v>
      </c>
      <c r="G9"/>
      <c r="J9"/>
    </row>
    <row r="10">
      <c r="A10"/>
      <c r="B10" t="s">
        <v>133</v>
      </c>
      <c r="E10"/>
      <c r="F10" t="s">
        <v>134</v>
      </c>
      <c r="G10"/>
      <c r="J10"/>
    </row>
    <row r="11">
      <c r="A11"/>
      <c r="B11"/>
      <c r="F11"/>
      <c r="G11"/>
      <c r="J11"/>
    </row>
    <row customFormat="1" r="12" s="2" spans="1:26" x14ac:dyDescent="0.25">
      <c r="A12"/>
      <c r="F12"/>
      <c r="G12"/>
      <c r="I12" s="19"/>
      <c r="J12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customFormat="1" r="13" s="2" spans="1:26" x14ac:dyDescent="0.25">
      <c r="A13" s="4" t="s">
        <v>4</v>
      </c>
      <c r="B13" t="s">
        <v>150</v>
      </c>
      <c r="D13" t="s" s="3">
        <v>88</v>
      </c>
      <c r="E13" t="s">
        <v>160</v>
      </c>
      <c r="F13"/>
      <c r="G13" s="4" t="s">
        <v>11</v>
      </c>
      <c r="H13" s="126" t="s">
        <v>140</v>
      </c>
      <c r="I13" s="19"/>
      <c r="J1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customFormat="1" r="14" s="2" spans="1:26" x14ac:dyDescent="0.25">
      <c r="A14" s="4" t="s">
        <v>5</v>
      </c>
      <c r="D14" t="s" s="3">
        <v>163</v>
      </c>
      <c r="F14"/>
      <c r="H14" s="126" t="s">
        <v>141</v>
      </c>
      <c r="I14" s="19"/>
      <c r="J1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customFormat="1" r="15" s="2" spans="1:26" x14ac:dyDescent="0.25">
      <c r="A15" s="4" t="s">
        <v>6</v>
      </c>
      <c r="B15" t="s">
        <v>128</v>
      </c>
      <c r="D15" t="s" s="3">
        <v>164</v>
      </c>
      <c r="F15"/>
      <c r="H15" t="s">
        <v>142</v>
      </c>
      <c r="I15" s="19"/>
      <c r="J15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customFormat="1" r="16" s="2" spans="1:26" x14ac:dyDescent="0.25">
      <c r="A16" s="4" t="s">
        <v>7</v>
      </c>
      <c r="B16" t="s">
        <v>151</v>
      </c>
      <c r="D16" t="s" s="3">
        <v>165</v>
      </c>
      <c r="F16"/>
      <c r="H16" t="s">
        <v>126</v>
      </c>
      <c r="I16" s="19"/>
      <c r="J16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customFormat="1" r="17" s="2" spans="1:26" x14ac:dyDescent="0.25">
      <c r="A17" s="5" t="s">
        <v>8</v>
      </c>
      <c r="B17" t="s">
        <v>152</v>
      </c>
      <c r="D17" t="s" s="3">
        <v>166</v>
      </c>
      <c r="F17"/>
      <c r="H17" t="s">
        <v>143</v>
      </c>
      <c r="I17" s="19"/>
      <c r="J1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customFormat="1" r="18" s="2" spans="1:26" x14ac:dyDescent="0.25">
      <c r="A18" s="5" t="s">
        <v>9</v>
      </c>
      <c r="B18" t="s">
        <v>153</v>
      </c>
      <c r="D18" t="s" s="3">
        <v>167</v>
      </c>
      <c r="F18"/>
      <c r="H18" t="s">
        <v>144</v>
      </c>
      <c r="I18" s="19"/>
      <c r="J1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customFormat="1" r="19" s="2" spans="1:26" x14ac:dyDescent="0.25">
      <c r="A19" s="5" t="s">
        <v>82</v>
      </c>
      <c r="B19" t="s">
        <v>148</v>
      </c>
      <c r="F19"/>
      <c r="H19" t="s">
        <v>145</v>
      </c>
      <c r="I19" s="19"/>
      <c r="J19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customFormat="1" r="20" s="2" spans="1:26" x14ac:dyDescent="0.25">
      <c r="A20" s="4" t="s">
        <v>10</v>
      </c>
      <c r="B20" s="105"/>
      <c r="F20"/>
      <c r="H20" t="s">
        <v>146</v>
      </c>
      <c r="I20" s="19"/>
      <c r="J20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customFormat="1" r="21" s="2" spans="1:26" x14ac:dyDescent="0.25">
      <c r="A21"/>
      <c r="F21"/>
      <c r="H21" t="s">
        <v>126</v>
      </c>
      <c r="I21" s="19"/>
      <c r="J21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>
      <c r="A22"/>
      <c r="F22"/>
      <c r="H22" t="s">
        <v>147</v>
      </c>
      <c r="J22"/>
    </row>
    <row r="23">
      <c r="A23"/>
      <c r="F23"/>
      <c r="H23"/>
      <c r="J23"/>
    </row>
    <row r="24">
      <c r="A24"/>
      <c r="F24"/>
      <c r="J24"/>
    </row>
    <row customFormat="1" r="25" s="2" spans="1:26" x14ac:dyDescent="0.25">
      <c r="A25" s="6" t="s">
        <v>12</v>
      </c>
      <c r="B25" s="6" t="s">
        <v>13</v>
      </c>
      <c r="C25" s="7"/>
      <c r="D25" s="8"/>
      <c r="E25" s="6" t="s">
        <v>14</v>
      </c>
      <c r="F25" s="9"/>
      <c r="G25" s="9"/>
      <c r="H25" s="10" t="s">
        <v>15</v>
      </c>
      <c r="I25" s="21" t="s">
        <v>16</v>
      </c>
      <c r="J25" s="15" t="s">
        <v>17</v>
      </c>
      <c r="K25" s="25" t="s">
        <v>135</v>
      </c>
      <c r="L25" s="25" t="s">
        <v>136</v>
      </c>
      <c r="M25" s="25" t="s">
        <v>137</v>
      </c>
      <c r="N25" s="25" t="s">
        <v>138</v>
      </c>
      <c r="O25" s="25" t="s">
        <v>139</v>
      </c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customFormat="1" r="26" s="2" spans="1:26" x14ac:dyDescent="0.25">
      <c r="A26" s="11"/>
      <c r="F26"/>
      <c r="H26" s="12"/>
      <c r="I26" s="22"/>
      <c r="J26" s="127">
        <f>IF(H26*I26=0,"",H26*I26)</f>
      </c>
      <c r="K26" s="24"/>
      <c r="L26" s="24"/>
      <c r="M26" s="24"/>
      <c r="N26" s="24"/>
      <c r="O26">
        <f>IF(H26*N26=0,"",H26*N26)</f>
      </c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customFormat="1" r="27" s="2" spans="1:26" x14ac:dyDescent="0.25">
      <c r="A27" s="11"/>
      <c r="F27"/>
      <c r="H27" s="12"/>
      <c r="I27" s="22"/>
      <c r="J27" s="127">
        <f>IF(H27*I27=0,"",H27*I27)</f>
      </c>
      <c r="K27" s="24"/>
      <c r="L27" s="24"/>
      <c r="M27" s="24"/>
      <c r="N27" s="24"/>
      <c r="O27">
        <f>IF(H27*N27=0,"",H27*N27)</f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customFormat="1" r="28" s="2" spans="1:26" x14ac:dyDescent="0.25">
      <c r="A28" s="11"/>
      <c r="F28"/>
      <c r="H28" s="12"/>
      <c r="I28" s="22"/>
      <c r="J28" s="127">
        <f>IF(H28*I28=0,"",H28*I28)</f>
      </c>
      <c r="K28" s="24"/>
      <c r="L28" s="24"/>
      <c r="M28" s="24"/>
      <c r="N28" s="24"/>
      <c r="O28">
        <f>IF(H28*N28=0,"",H28*N28)</f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customFormat="1" r="29" s="2" spans="1:26" x14ac:dyDescent="0.25">
      <c r="A29" s="11"/>
      <c r="F29"/>
      <c r="H29" s="12"/>
      <c r="I29" s="22"/>
      <c r="J29" s="127">
        <f>IF(H29*I29=0,"",H29*I29)</f>
      </c>
      <c r="K29" s="24"/>
      <c r="L29" s="24"/>
      <c r="M29" s="24"/>
      <c r="N29" s="24"/>
      <c r="O29">
        <f>IF(H29*N29=0,"",H29*N29)</f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customFormat="1" r="30" s="2" spans="1:26" x14ac:dyDescent="0.25">
      <c r="A30" s="11"/>
      <c r="F30"/>
      <c r="H30" s="12"/>
      <c r="I30" s="22"/>
      <c r="J30" s="127">
        <f>IF(H30*I30=0,"",H30*I30)</f>
      </c>
      <c r="K30" s="24"/>
      <c r="L30" s="24"/>
      <c r="M30" s="24"/>
      <c r="N30" s="24"/>
      <c r="O30">
        <f>IF(H30*N30=0,"",H30*N30)</f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customFormat="1" r="31" s="2" spans="1:26" x14ac:dyDescent="0.25">
      <c r="A31" s="11"/>
      <c r="F31"/>
      <c r="H31" s="12"/>
      <c r="I31" s="22"/>
      <c r="J31" s="127">
        <f>IF(H31*I31=0,"",H31*I31)</f>
      </c>
      <c r="K31" s="24"/>
      <c r="L31" s="24"/>
      <c r="M31" s="24"/>
      <c r="N31" s="24"/>
      <c r="O31">
        <f>IF(H31*N31=0,"",H31*N31)</f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customFormat="1" r="32" s="2" spans="1:26" x14ac:dyDescent="0.25">
      <c r="A32" s="11"/>
      <c r="F32"/>
      <c r="H32" s="12"/>
      <c r="I32" s="22"/>
      <c r="J32" s="127">
        <f>IF(H32*I32=0,"",H32*I32)</f>
      </c>
      <c r="K32" s="24"/>
      <c r="L32" s="24"/>
      <c r="M32" s="24"/>
      <c r="N32" s="24"/>
      <c r="O32">
        <f>IF(H32*N32=0,"",H32*N32)</f>
      </c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customFormat="1" r="33" s="2" spans="1:26" x14ac:dyDescent="0.25">
      <c r="A33" s="11"/>
      <c r="F33"/>
      <c r="H33" s="12"/>
      <c r="I33" s="22"/>
      <c r="J33" s="127">
        <f>IF(H33*I33=0,"",H33*I33)</f>
      </c>
      <c r="K33" s="24"/>
      <c r="L33" s="24"/>
      <c r="M33" s="24"/>
      <c r="N33" s="24"/>
      <c r="O33">
        <f>IF(H33*N33=0,"",H33*N33)</f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customFormat="1" r="34" s="2" spans="1:26" x14ac:dyDescent="0.25">
      <c r="A34" s="11"/>
      <c r="F34"/>
      <c r="H34" s="12"/>
      <c r="I34" s="22"/>
      <c r="J34" s="127">
        <f>IF(H34*I34=0,"",H34*I34)</f>
      </c>
      <c r="K34" s="24"/>
      <c r="L34" s="24"/>
      <c r="M34" s="24"/>
      <c r="N34" s="24"/>
      <c r="O34">
        <f>IF(H34*N34=0,"",H34*N34)</f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customFormat="1" r="35" s="2" spans="1:26" x14ac:dyDescent="0.25">
      <c r="A35" s="11"/>
      <c r="F35"/>
      <c r="H35" s="12"/>
      <c r="I35" s="22"/>
      <c r="J35" s="127">
        <f>IF(H35*I35=0,"",H35*I35)</f>
      </c>
      <c r="K35" s="24"/>
      <c r="L35" s="24"/>
      <c r="M35" s="24"/>
      <c r="N35" s="24"/>
      <c r="O35">
        <f>IF(H35*N35=0,"",H35*N35)</f>
      </c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customFormat="1" r="36" s="2" spans="1:26" x14ac:dyDescent="0.25">
      <c r="A36" s="11"/>
      <c r="F36"/>
      <c r="H36" s="12"/>
      <c r="I36" s="22"/>
      <c r="J36" s="127">
        <f>IF(H36*I36=0,"",H36*I36)</f>
      </c>
      <c r="K36" s="24"/>
      <c r="L36" s="24"/>
      <c r="M36" s="24"/>
      <c r="N36" s="24"/>
      <c r="O36">
        <f>IF(H36*N36=0,"",H36*N36)</f>
      </c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customFormat="1" r="37" s="2" spans="1:26" x14ac:dyDescent="0.25">
      <c r="A37" s="11"/>
      <c r="F37"/>
      <c r="H37" s="12"/>
      <c r="I37" s="22"/>
      <c r="J37" s="127">
        <f>IF(H37*I37=0,"",H37*I37)</f>
      </c>
      <c r="K37" s="24"/>
      <c r="L37" s="24"/>
      <c r="M37" s="24"/>
      <c r="N37" s="24"/>
      <c r="O37">
        <f>IF(H37*N37=0,"",H37*N37)</f>
      </c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customFormat="1" r="38" s="2" spans="1:26" x14ac:dyDescent="0.25">
      <c r="A38" s="11"/>
      <c r="F38"/>
      <c r="H38" s="12"/>
      <c r="I38" s="22"/>
      <c r="J38" s="127">
        <f>IF(H38*I38=0,"",H38*I38)</f>
      </c>
      <c r="K38" s="24"/>
      <c r="L38" s="24"/>
      <c r="M38" s="24"/>
      <c r="N38" s="24"/>
      <c r="O38">
        <f>IF(H38*N38=0,"",H38*N38)</f>
      </c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customFormat="1" r="39" s="2" spans="1:26" x14ac:dyDescent="0.25">
      <c r="A39" s="11"/>
      <c r="F39"/>
      <c r="H39" s="12"/>
      <c r="I39" s="22"/>
      <c r="J39" s="127">
        <f>IF(H39*I39=0,"",H39*I39)</f>
      </c>
      <c r="K39" s="24"/>
      <c r="L39" s="24"/>
      <c r="M39" s="24"/>
      <c r="N39" s="24"/>
      <c r="O39">
        <f>IF(H39*N39=0,"",H39*N39)</f>
      </c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customFormat="1" r="40" s="2" spans="1:26" x14ac:dyDescent="0.25">
      <c r="A40" s="11"/>
      <c r="F40"/>
      <c r="H40" s="12"/>
      <c r="I40" s="22"/>
      <c r="J40" s="127">
        <f>IF(H40*I40=0,"",H40*I40)</f>
      </c>
      <c r="K40" s="24"/>
      <c r="L40" s="24"/>
      <c r="M40" s="24"/>
      <c r="N40" s="24"/>
      <c r="O40">
        <f>IF(H40*N40=0,"",H40*N40)</f>
      </c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customFormat="1" r="41" s="2" spans="1:26" x14ac:dyDescent="0.25">
      <c r="A41" s="11"/>
      <c r="F41"/>
      <c r="H41" s="12"/>
      <c r="I41" s="22"/>
      <c r="J41" s="127">
        <f>IF(H41*I41=0,"",H41*I41)</f>
      </c>
      <c r="K41" s="24"/>
      <c r="L41" s="24"/>
      <c r="M41" s="24"/>
      <c r="N41" s="24"/>
      <c r="O41">
        <f>IF(H41*N41=0,"",H41*N41)</f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customFormat="1" r="42" s="2" spans="1:26" x14ac:dyDescent="0.25">
      <c r="A42" s="11"/>
      <c r="F42"/>
      <c r="H42" s="12"/>
      <c r="I42" s="22"/>
      <c r="J42" s="127">
        <f>IF(H42*I42=0,"",H42*I42)</f>
      </c>
      <c r="K42" s="24"/>
      <c r="L42" s="24"/>
      <c r="M42" s="24"/>
      <c r="N42" s="24"/>
      <c r="O42">
        <f>IF(H42*N42=0,"",H42*N42)</f>
      </c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customFormat="1" r="43" s="2" spans="1:26" x14ac:dyDescent="0.25">
      <c r="A43" s="11"/>
      <c r="F43"/>
      <c r="H43" s="12"/>
      <c r="I43" s="22"/>
      <c r="J43" s="127">
        <f>IF(H43*I43=0,"",H43*I43)</f>
      </c>
      <c r="K43" s="24"/>
      <c r="L43" s="24"/>
      <c r="M43" s="24"/>
      <c r="N43" s="24"/>
      <c r="O43">
        <f>IF(H43*N43=0,"",H43*N43)</f>
      </c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customFormat="1" r="44" s="2" spans="1:26" x14ac:dyDescent="0.25">
      <c r="A44" s="11"/>
      <c r="F44"/>
      <c r="H44" s="12"/>
      <c r="I44" s="22"/>
      <c r="J44" s="127">
        <f>IF(H44*I44=0,"",H44*I44)</f>
      </c>
      <c r="K44" s="24"/>
      <c r="L44" s="24"/>
      <c r="M44" s="24"/>
      <c r="N44" s="24"/>
      <c r="O44">
        <f>IF(H44*N44=0,"",H44*N44)</f>
      </c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customFormat="1" r="45" s="2" spans="1:26" x14ac:dyDescent="0.25">
      <c r="A45" s="11"/>
      <c r="F45"/>
      <c r="H45" s="12"/>
      <c r="I45" s="22"/>
      <c r="J45" s="127">
        <f>IF(H45*I45=0,"",H45*I45)</f>
      </c>
      <c r="K45" s="24"/>
      <c r="L45" s="24"/>
      <c r="M45" s="24"/>
      <c r="N45" s="24"/>
      <c r="O45">
        <f>IF(H45*N45=0,"",H45*N45)</f>
      </c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customFormat="1" r="46" s="2" spans="1:26" x14ac:dyDescent="0.25">
      <c r="A46" s="11"/>
      <c r="F46"/>
      <c r="H46" s="12"/>
      <c r="I46" s="22"/>
      <c r="J46" s="127">
        <f>IF(H46*I46=0,"",H46*I46)</f>
      </c>
      <c r="K46" s="24"/>
      <c r="L46" s="24"/>
      <c r="M46" s="24"/>
      <c r="N46" s="24"/>
      <c r="O46">
        <f>IF(H46*N46=0,"",H46*N46)</f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customFormat="1" r="47" s="2" spans="1:26" x14ac:dyDescent="0.25">
      <c r="A47" s="11"/>
      <c r="F47"/>
      <c r="H47" s="12"/>
      <c r="I47" s="22"/>
      <c r="J47" s="127">
        <f>IF(H47*I47=0,"",H47*I47)</f>
      </c>
      <c r="K47" s="24"/>
      <c r="L47" s="24"/>
      <c r="M47" s="24"/>
      <c r="N47" s="24"/>
      <c r="O47">
        <f>IF(H47*N47=0,"",H47*N47)</f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customFormat="1" r="48" s="2" spans="1:26" x14ac:dyDescent="0.25">
      <c r="A48" s="11"/>
      <c r="F48"/>
      <c r="H48" s="12"/>
      <c r="I48" s="22"/>
      <c r="J48" s="127">
        <f>IF(H48*I48=0,"",H48*I48)</f>
      </c>
      <c r="K48" s="24"/>
      <c r="L48" s="24"/>
      <c r="M48" s="24"/>
      <c r="N48" s="24"/>
      <c r="O48">
        <f>IF(H48*N48=0,"",H48*N48)</f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customFormat="1" r="49" s="2" spans="1:26" x14ac:dyDescent="0.25">
      <c r="A49" s="11"/>
      <c r="F49" t="s">
        <v>26</v>
      </c>
      <c r="H49" s="12"/>
      <c r="I49" s="22"/>
      <c r="J49" s="22">
        <f>SUM(J26:J48)</f>
      </c>
      <c r="K49" s="24"/>
      <c r="L49" s="24"/>
      <c r="M49" s="24"/>
      <c r="N49" s="24"/>
      <c r="O49">
        <f>IF(H49*N49=0,"",H49*N49)</f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>
      <c r="F50" t="s">
        <v>54</v>
      </c>
      <c r="O50">
        <f>IF(H50*N50=0,"",H50*N50)</f>
      </c>
    </row>
    <row customFormat="1" r="51" s="2" spans="1:26" x14ac:dyDescent="0.25">
      <c r="A51" s="11"/>
      <c r="F51" s="13" t="s">
        <v>18</v>
      </c>
      <c r="G51" s="13"/>
      <c r="H51" s="14"/>
      <c r="I51" s="15"/>
      <c r="J51" s="15">
        <f>SUM(J49,J50)</f>
      </c>
      <c r="K51" s="26"/>
      <c r="L51" s="26"/>
      <c r="M51" s="26"/>
      <c r="N51" s="26"/>
      <c r="O51" s="26">
        <f>SUM(O26:O50)</f>
      </c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spans="1:26" x14ac:dyDescent="0.25">
      <c r="F52"/>
      <c r="H52" s="16"/>
      <c r="I52" s="23"/>
      <c r="J52" s="23"/>
    </row>
    <row r="53" spans="1:26" x14ac:dyDescent="0.25">
      <c r="F53"/>
      <c r="H53" s="16"/>
      <c r="I53" s="23"/>
      <c r="J53" s="23"/>
    </row>
    <row r="54" spans="1:26" x14ac:dyDescent="0.25">
      <c r="F54"/>
      <c r="H54" s="16"/>
      <c r="I54" s="23"/>
      <c r="J54" s="23"/>
    </row>
    <row r="55" spans="1:26" x14ac:dyDescent="0.25">
      <c r="F55"/>
      <c r="H55" s="16"/>
      <c r="I55" s="23"/>
      <c r="J55" s="23"/>
    </row>
    <row r="56" spans="1:26" x14ac:dyDescent="0.25">
      <c r="F56"/>
      <c r="H56" s="16"/>
      <c r="I56" s="23"/>
      <c r="J56" s="23"/>
    </row>
    <row r="57" spans="1:26" x14ac:dyDescent="0.25">
      <c r="F57"/>
      <c r="H57" s="16"/>
      <c r="I57" s="23"/>
      <c r="J57" s="23"/>
    </row>
    <row r="58" spans="1:26" x14ac:dyDescent="0.25">
      <c r="F58"/>
      <c r="H58" s="16"/>
      <c r="I58" s="23"/>
      <c r="J58" s="23"/>
    </row>
    <row r="59" spans="1:26" x14ac:dyDescent="0.25">
      <c r="F59"/>
      <c r="H59" s="16"/>
      <c r="I59" s="23"/>
      <c r="J59" s="23"/>
    </row>
    <row r="60" spans="8:10" x14ac:dyDescent="0.25">
      <c r="F60"/>
      <c r="H60" s="16"/>
      <c r="I60" s="23"/>
      <c r="J60" s="23"/>
    </row>
    <row r="61" spans="8:10" x14ac:dyDescent="0.25">
      <c r="F61"/>
      <c r="H61" s="16"/>
      <c r="I61" s="23"/>
      <c r="J61" s="23"/>
    </row>
    <row r="62" spans="8:10" x14ac:dyDescent="0.25">
      <c r="F62"/>
      <c r="H62" s="16"/>
      <c r="I62" s="23"/>
      <c r="J62" s="23"/>
    </row>
    <row r="63" spans="8:10" x14ac:dyDescent="0.25">
      <c r="F63"/>
      <c r="H63" s="16"/>
      <c r="I63" s="23"/>
      <c r="J63" s="23"/>
    </row>
    <row r="64" spans="8:10" x14ac:dyDescent="0.25">
      <c r="F64"/>
      <c r="H64" s="16"/>
      <c r="I64" s="23"/>
      <c r="J64" s="23"/>
    </row>
    <row r="65" spans="8:10" x14ac:dyDescent="0.25">
      <c r="F65"/>
      <c r="H65" s="16"/>
      <c r="I65" s="23"/>
      <c r="J65" s="23"/>
    </row>
    <row r="66" spans="8:10" x14ac:dyDescent="0.25">
      <c r="F66"/>
      <c r="H66" s="16"/>
      <c r="I66" s="23"/>
      <c r="J66" s="23"/>
    </row>
    <row r="67" spans="8:10" x14ac:dyDescent="0.25">
      <c r="F67"/>
      <c r="H67" s="16"/>
      <c r="I67" s="23"/>
      <c r="J67" s="23"/>
    </row>
    <row r="68" spans="8:10" x14ac:dyDescent="0.25">
      <c r="F68"/>
      <c r="H68" s="16"/>
      <c r="I68" s="23"/>
      <c r="J68" s="23"/>
    </row>
    <row r="69" spans="8:10" x14ac:dyDescent="0.25">
      <c r="F69"/>
      <c r="H69" s="16"/>
      <c r="I69" s="23"/>
      <c r="J69" s="23"/>
    </row>
    <row r="70" spans="8:10" x14ac:dyDescent="0.25">
      <c r="F70"/>
      <c r="H70" s="16"/>
      <c r="I70" s="23"/>
      <c r="J70" s="23"/>
    </row>
    <row r="71" spans="8:10" x14ac:dyDescent="0.25">
      <c r="F71"/>
      <c r="H71" s="16"/>
      <c r="I71" s="23"/>
      <c r="J71" s="23"/>
    </row>
    <row r="72" spans="8:10" x14ac:dyDescent="0.25">
      <c r="F72"/>
      <c r="H72" s="16"/>
      <c r="I72" s="23"/>
      <c r="J72" s="23"/>
    </row>
    <row r="73" spans="8:10" x14ac:dyDescent="0.25">
      <c r="F73"/>
      <c r="H73" s="16"/>
    </row>
    <row r="74" spans="8:10" x14ac:dyDescent="0.25">
      <c r="F74"/>
      <c r="H74" s="16"/>
    </row>
    <row r="75" spans="8:10" x14ac:dyDescent="0.25">
      <c r="F75"/>
      <c r="H75" s="16"/>
    </row>
    <row r="76" spans="8:8" x14ac:dyDescent="0.25">
      <c r="F76"/>
      <c r="H76" s="16"/>
    </row>
    <row r="77" spans="8:8" x14ac:dyDescent="0.25">
      <c r="F77"/>
      <c r="H77" s="16"/>
    </row>
    <row r="78" spans="8:8" x14ac:dyDescent="0.25">
      <c r="F78"/>
      <c r="H78" s="16"/>
    </row>
    <row r="79" spans="8:8" x14ac:dyDescent="0.25">
      <c r="F79"/>
      <c r="H79" s="16"/>
    </row>
    <row r="80" spans="8:8" x14ac:dyDescent="0.25">
      <c r="F80"/>
      <c r="H80" s="16"/>
    </row>
    <row r="81" spans="8:8" x14ac:dyDescent="0.25">
      <c r="F81"/>
      <c r="H81" s="16"/>
    </row>
    <row r="82" spans="8:8" x14ac:dyDescent="0.25">
      <c r="F82"/>
      <c r="H82" s="16"/>
    </row>
    <row r="83" spans="8:8" x14ac:dyDescent="0.25">
      <c r="F83"/>
      <c r="H83" s="16"/>
    </row>
    <row r="84" spans="8:8" x14ac:dyDescent="0.25">
      <c r="F84"/>
      <c r="H84" s="16"/>
    </row>
    <row r="85" spans="8:8" x14ac:dyDescent="0.25">
      <c r="F85"/>
      <c r="H85" s="16"/>
    </row>
  </sheetData>
  <sheetProtection objects="false" sheet="false"/>
  <conditionalFormatting sqref="K25:Z25 K51:Z51">
    <cfRule dxfId="4" priority="1" type="expression">
      <formula>K$25&lt;&gt;""</formula>
    </cfRule>
  </conditionalFormatting>
  <printOptions horizontalCentered="1"/>
  <pageMargins bottom="0.75" footer="0.3" header="0.3" left="0.45" right="0.45" top="1"/>
  <headerFooter>
    <oddHeader>&amp;C&amp;"-,Bold"&amp;16EXPORT HOME FURNISHINGS, INC.&amp;"-,Regular"
3635 PEACHTREE INDUSTRIAL BLVD SUITE  700 
TEL: (678) 646 0476 - FAX: (678) 646 0482</oddHead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baseType="lpstr" size="17">
      <vt:lpstr>PI</vt:lpstr>
      <vt:lpstr>PO</vt:lpstr>
      <vt:lpstr>CALC SHEET</vt:lpstr>
      <vt:lpstr>CO</vt:lpstr>
      <vt:lpstr>cAfterTotal</vt:lpstr>
      <vt:lpstr>container</vt:lpstr>
      <vt:lpstr>customerPO</vt:lpstr>
      <vt:lpstr>DeliveryTerms</vt:lpstr>
      <vt:lpstr>Factory</vt:lpstr>
      <vt:lpstr>PaymentTerms</vt:lpstr>
      <vt:lpstr>'CALC SHEET'!Print_Area</vt:lpstr>
      <vt:lpstr>CO!Print_Area</vt:lpstr>
      <vt:lpstr>PI!Print_Area</vt:lpstr>
      <vt:lpstr>PO!Print_Area</vt:lpstr>
      <vt:lpstr>PI!Print_Titles</vt:lpstr>
      <vt:lpstr>PO!Print_Titles</vt:lpstr>
      <vt:lpstr>SCWITHDATE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2018-04-01T22:29:07Z</dcterms:created>
  <dc:creator>Patrick J Nercessian</dc:creator>
  <cp:lastModifiedBy>Patrick</cp:lastModifiedBy>
  <cp:lastPrinted>2018-08-20T13:16:03Z</cp:lastPrinted>
  <dcterms:modified xsi:type="dcterms:W3CDTF">2018-12-03T01:14:04Z</dcterms:modified>
</cp:coreProperties>
</file>